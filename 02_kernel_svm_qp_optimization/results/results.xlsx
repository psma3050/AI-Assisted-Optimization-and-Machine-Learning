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e7e86695cdb9ddc/桌面/ML/HW3/"/>
    </mc:Choice>
  </mc:AlternateContent>
  <xr:revisionPtr revIDLastSave="178" documentId="11_0CD517875B10554ED39B3C11595ED87656CD8C63" xr6:coauthVersionLast="47" xr6:coauthVersionMax="47" xr10:uidLastSave="{CCD56292-5073-42C2-AEBD-A5C58189D6E7}"/>
  <bookViews>
    <workbookView minimized="1" xWindow="735" yWindow="735" windowWidth="16200" windowHeight="930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" i="1" l="1"/>
  <c r="P41" i="1"/>
  <c r="P40" i="1"/>
  <c r="P39" i="1"/>
  <c r="J42" i="1"/>
  <c r="K42" i="1"/>
  <c r="L42" i="1"/>
  <c r="M42" i="1"/>
  <c r="N42" i="1"/>
  <c r="O42" i="1"/>
  <c r="J3" i="1"/>
  <c r="K3" i="1"/>
  <c r="L3" i="1"/>
  <c r="M3" i="1"/>
  <c r="N3" i="1"/>
  <c r="O3" i="1"/>
  <c r="P3" i="1"/>
  <c r="J4" i="1"/>
  <c r="K4" i="1"/>
  <c r="L4" i="1"/>
  <c r="M4" i="1"/>
  <c r="N4" i="1"/>
  <c r="O4" i="1"/>
  <c r="P4" i="1"/>
  <c r="J5" i="1"/>
  <c r="K5" i="1"/>
  <c r="L5" i="1"/>
  <c r="M5" i="1"/>
  <c r="N5" i="1"/>
  <c r="O5" i="1"/>
  <c r="P5" i="1"/>
  <c r="J6" i="1"/>
  <c r="K6" i="1"/>
  <c r="L6" i="1"/>
  <c r="M6" i="1"/>
  <c r="N6" i="1"/>
  <c r="O6" i="1"/>
  <c r="P6" i="1"/>
  <c r="J7" i="1"/>
  <c r="K7" i="1"/>
  <c r="L7" i="1"/>
  <c r="M7" i="1"/>
  <c r="N7" i="1"/>
  <c r="O7" i="1"/>
  <c r="P7" i="1"/>
  <c r="J8" i="1"/>
  <c r="K8" i="1"/>
  <c r="L8" i="1"/>
  <c r="M8" i="1"/>
  <c r="N8" i="1"/>
  <c r="O8" i="1"/>
  <c r="P8" i="1"/>
  <c r="J9" i="1"/>
  <c r="K9" i="1"/>
  <c r="L9" i="1"/>
  <c r="M9" i="1"/>
  <c r="N9" i="1"/>
  <c r="O9" i="1"/>
  <c r="P9" i="1"/>
  <c r="J10" i="1"/>
  <c r="K10" i="1"/>
  <c r="L10" i="1"/>
  <c r="M10" i="1"/>
  <c r="N10" i="1"/>
  <c r="O10" i="1"/>
  <c r="P10" i="1"/>
  <c r="J11" i="1"/>
  <c r="K11" i="1"/>
  <c r="L11" i="1"/>
  <c r="M11" i="1"/>
  <c r="N11" i="1"/>
  <c r="O11" i="1"/>
  <c r="P11" i="1"/>
  <c r="J12" i="1"/>
  <c r="K12" i="1"/>
  <c r="L12" i="1"/>
  <c r="M12" i="1"/>
  <c r="N12" i="1"/>
  <c r="O12" i="1"/>
  <c r="P12" i="1"/>
  <c r="J13" i="1"/>
  <c r="K13" i="1"/>
  <c r="L13" i="1"/>
  <c r="M13" i="1"/>
  <c r="N13" i="1"/>
  <c r="O13" i="1"/>
  <c r="P13" i="1"/>
  <c r="J14" i="1"/>
  <c r="K14" i="1"/>
  <c r="L14" i="1"/>
  <c r="M14" i="1"/>
  <c r="N14" i="1"/>
  <c r="O14" i="1"/>
  <c r="P14" i="1"/>
  <c r="J15" i="1"/>
  <c r="K15" i="1"/>
  <c r="L15" i="1"/>
  <c r="M15" i="1"/>
  <c r="N15" i="1"/>
  <c r="O15" i="1"/>
  <c r="P15" i="1"/>
  <c r="J16" i="1"/>
  <c r="K16" i="1"/>
  <c r="L16" i="1"/>
  <c r="M16" i="1"/>
  <c r="N16" i="1"/>
  <c r="O16" i="1"/>
  <c r="P16" i="1"/>
  <c r="J17" i="1"/>
  <c r="K17" i="1"/>
  <c r="L17" i="1"/>
  <c r="M17" i="1"/>
  <c r="N17" i="1"/>
  <c r="O17" i="1"/>
  <c r="P17" i="1"/>
  <c r="J18" i="1"/>
  <c r="K18" i="1"/>
  <c r="L18" i="1"/>
  <c r="M18" i="1"/>
  <c r="N18" i="1"/>
  <c r="O18" i="1"/>
  <c r="P18" i="1"/>
  <c r="J19" i="1"/>
  <c r="K19" i="1"/>
  <c r="L19" i="1"/>
  <c r="M19" i="1"/>
  <c r="N19" i="1"/>
  <c r="O19" i="1"/>
  <c r="P19" i="1"/>
  <c r="J20" i="1"/>
  <c r="K20" i="1"/>
  <c r="L20" i="1"/>
  <c r="M20" i="1"/>
  <c r="N20" i="1"/>
  <c r="O20" i="1"/>
  <c r="P20" i="1"/>
  <c r="J21" i="1"/>
  <c r="K21" i="1"/>
  <c r="L21" i="1"/>
  <c r="M21" i="1"/>
  <c r="N21" i="1"/>
  <c r="O21" i="1"/>
  <c r="P21" i="1"/>
  <c r="J22" i="1"/>
  <c r="K22" i="1"/>
  <c r="L22" i="1"/>
  <c r="M22" i="1"/>
  <c r="N22" i="1"/>
  <c r="O22" i="1"/>
  <c r="P22" i="1"/>
  <c r="J23" i="1"/>
  <c r="K23" i="1"/>
  <c r="L23" i="1"/>
  <c r="M23" i="1"/>
  <c r="N23" i="1"/>
  <c r="O23" i="1"/>
  <c r="P23" i="1"/>
  <c r="J24" i="1"/>
  <c r="K24" i="1"/>
  <c r="L24" i="1"/>
  <c r="M24" i="1"/>
  <c r="N24" i="1"/>
  <c r="O24" i="1"/>
  <c r="P24" i="1"/>
  <c r="J25" i="1"/>
  <c r="K25" i="1"/>
  <c r="L25" i="1"/>
  <c r="M25" i="1"/>
  <c r="N25" i="1"/>
  <c r="O25" i="1"/>
  <c r="P25" i="1"/>
  <c r="J26" i="1"/>
  <c r="K26" i="1"/>
  <c r="L26" i="1"/>
  <c r="M26" i="1"/>
  <c r="N26" i="1"/>
  <c r="O26" i="1"/>
  <c r="P26" i="1"/>
  <c r="J27" i="1"/>
  <c r="K27" i="1"/>
  <c r="L27" i="1"/>
  <c r="M27" i="1"/>
  <c r="N27" i="1"/>
  <c r="O27" i="1"/>
  <c r="P27" i="1"/>
  <c r="J28" i="1"/>
  <c r="K28" i="1"/>
  <c r="L28" i="1"/>
  <c r="M28" i="1"/>
  <c r="N28" i="1"/>
  <c r="O28" i="1"/>
  <c r="P28" i="1"/>
  <c r="J29" i="1"/>
  <c r="K29" i="1"/>
  <c r="L29" i="1"/>
  <c r="M29" i="1"/>
  <c r="N29" i="1"/>
  <c r="O29" i="1"/>
  <c r="P29" i="1"/>
  <c r="J30" i="1"/>
  <c r="K30" i="1"/>
  <c r="L30" i="1"/>
  <c r="M30" i="1"/>
  <c r="N30" i="1"/>
  <c r="O30" i="1"/>
  <c r="P30" i="1"/>
  <c r="J31" i="1"/>
  <c r="K31" i="1"/>
  <c r="L31" i="1"/>
  <c r="M31" i="1"/>
  <c r="N31" i="1"/>
  <c r="O31" i="1"/>
  <c r="P31" i="1"/>
  <c r="J32" i="1"/>
  <c r="K32" i="1"/>
  <c r="L32" i="1"/>
  <c r="M32" i="1"/>
  <c r="N32" i="1"/>
  <c r="O32" i="1"/>
  <c r="P32" i="1"/>
  <c r="J33" i="1"/>
  <c r="K33" i="1"/>
  <c r="L33" i="1"/>
  <c r="M33" i="1"/>
  <c r="N33" i="1"/>
  <c r="O33" i="1"/>
  <c r="P33" i="1"/>
  <c r="J34" i="1"/>
  <c r="K34" i="1"/>
  <c r="L34" i="1"/>
  <c r="M34" i="1"/>
  <c r="N34" i="1"/>
  <c r="O34" i="1"/>
  <c r="P34" i="1"/>
  <c r="J35" i="1"/>
  <c r="K35" i="1"/>
  <c r="L35" i="1"/>
  <c r="M35" i="1"/>
  <c r="N35" i="1"/>
  <c r="O35" i="1"/>
  <c r="P35" i="1"/>
  <c r="J36" i="1"/>
  <c r="K36" i="1"/>
  <c r="L36" i="1"/>
  <c r="M36" i="1"/>
  <c r="N36" i="1"/>
  <c r="O36" i="1"/>
  <c r="P36" i="1"/>
  <c r="J37" i="1"/>
  <c r="K37" i="1"/>
  <c r="L37" i="1"/>
  <c r="M37" i="1"/>
  <c r="N37" i="1"/>
  <c r="O37" i="1"/>
  <c r="P37" i="1"/>
  <c r="J38" i="1"/>
  <c r="K38" i="1"/>
  <c r="L38" i="1"/>
  <c r="M38" i="1"/>
  <c r="N38" i="1"/>
  <c r="O38" i="1"/>
  <c r="P38" i="1"/>
  <c r="J39" i="1"/>
  <c r="K39" i="1"/>
  <c r="L39" i="1"/>
  <c r="M39" i="1"/>
  <c r="N39" i="1"/>
  <c r="O39" i="1"/>
  <c r="J40" i="1"/>
  <c r="K40" i="1"/>
  <c r="L40" i="1"/>
  <c r="M40" i="1"/>
  <c r="N40" i="1"/>
  <c r="O40" i="1"/>
  <c r="J41" i="1"/>
  <c r="K41" i="1"/>
  <c r="L41" i="1"/>
  <c r="M41" i="1"/>
  <c r="N41" i="1"/>
  <c r="O41" i="1"/>
  <c r="K2" i="1"/>
  <c r="L2" i="1"/>
  <c r="M2" i="1"/>
  <c r="N2" i="1"/>
  <c r="O2" i="1"/>
  <c r="P2" i="1"/>
  <c r="J2" i="1"/>
</calcChain>
</file>

<file path=xl/sharedStrings.xml><?xml version="1.0" encoding="utf-8"?>
<sst xmlns="http://schemas.openxmlformats.org/spreadsheetml/2006/main" count="89" uniqueCount="89">
  <si>
    <t>C=1</t>
  </si>
  <si>
    <t>C=5</t>
  </si>
  <si>
    <t>C=10</t>
  </si>
  <si>
    <t>C=50</t>
  </si>
  <si>
    <t>C=100</t>
  </si>
  <si>
    <t>C=500</t>
  </si>
  <si>
    <t>C=1000</t>
  </si>
  <si>
    <t>σ=0.0097</t>
  </si>
  <si>
    <t>σ=0.0124</t>
  </si>
  <si>
    <t>σ=0.0158</t>
  </si>
  <si>
    <t>σ=0.0202</t>
  </si>
  <si>
    <t>σ=0.0258</t>
  </si>
  <si>
    <t>σ=0.0329</t>
  </si>
  <si>
    <t>σ=0.0419</t>
  </si>
  <si>
    <t>σ=0.0535</t>
  </si>
  <si>
    <t>σ=0.0683</t>
  </si>
  <si>
    <t>σ=0.0872</t>
  </si>
  <si>
    <t>σ=0.1113</t>
  </si>
  <si>
    <t>σ=0.142</t>
  </si>
  <si>
    <t>σ=0.1813</t>
  </si>
  <si>
    <t>σ=0.2314</t>
  </si>
  <si>
    <t>σ=0.2953</t>
  </si>
  <si>
    <t>σ=0.3769</t>
  </si>
  <si>
    <t>σ=0.481</t>
  </si>
  <si>
    <t>σ=0.6139</t>
  </si>
  <si>
    <t>σ=0.7835</t>
  </si>
  <si>
    <t>σ=1.0</t>
  </si>
  <si>
    <t>σ=1.2763</t>
  </si>
  <si>
    <t>σ=1.6289</t>
  </si>
  <si>
    <t>σ=2.0789</t>
  </si>
  <si>
    <t>σ=2.6533</t>
  </si>
  <si>
    <t>σ=3.3864</t>
  </si>
  <si>
    <t>σ=4.3219</t>
  </si>
  <si>
    <t>σ=5.516</t>
  </si>
  <si>
    <t>σ=7.04</t>
  </si>
  <si>
    <t>σ=8.985</t>
  </si>
  <si>
    <t>σ=11.4674</t>
  </si>
  <si>
    <t>σ=14.6356</t>
  </si>
  <si>
    <t>σ=18.6792</t>
  </si>
  <si>
    <t>σ=23.8399</t>
  </si>
  <si>
    <t>σ=30.4264</t>
  </si>
  <si>
    <t>σ=38.8327</t>
  </si>
  <si>
    <t>σ=49.5614</t>
  </si>
  <si>
    <t>σ=63.2544</t>
  </si>
  <si>
    <t>σ=80.7304</t>
  </si>
  <si>
    <t>σ=103.0347</t>
  </si>
  <si>
    <t>σ=131.5013</t>
  </si>
  <si>
    <r>
      <rPr>
        <b/>
        <sz val="11"/>
        <rFont val="Calibri"/>
        <family val="2"/>
      </rPr>
      <t>σ</t>
    </r>
    <r>
      <rPr>
        <b/>
        <sz val="11"/>
        <rFont val="新細明體"/>
      </rPr>
      <t>=0.0076</t>
    </r>
    <phoneticPr fontId="3" type="noConversion"/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</si>
  <si>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^(-100)</t>
    </r>
    <phoneticPr fontId="3" type="noConversion"/>
  </si>
  <si>
    <t>1.05^(-95)</t>
    <phoneticPr fontId="3" type="noConversion"/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</si>
  <si>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^(-90)</t>
    </r>
    <r>
      <rPr>
        <sz val="12"/>
        <color theme="1"/>
        <rFont val="新細明體"/>
        <family val="2"/>
        <scheme val="minor"/>
      </rPr>
      <t/>
    </r>
  </si>
  <si>
    <t>1.05^(-85)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</si>
  <si>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^(-80)</t>
    </r>
    <r>
      <rPr>
        <sz val="12"/>
        <color theme="1"/>
        <rFont val="新細明體"/>
        <family val="2"/>
        <scheme val="minor"/>
      </rPr>
      <t/>
    </r>
  </si>
  <si>
    <t>1.05^(-75)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</si>
  <si>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^(-70)</t>
    </r>
    <r>
      <rPr>
        <sz val="12"/>
        <color theme="1"/>
        <rFont val="新細明體"/>
        <family val="2"/>
        <scheme val="minor"/>
      </rPr>
      <t/>
    </r>
  </si>
  <si>
    <t>1.05^(-65)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</si>
  <si>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^(-60)</t>
    </r>
    <r>
      <rPr>
        <sz val="12"/>
        <color theme="1"/>
        <rFont val="新細明體"/>
        <family val="2"/>
        <scheme val="minor"/>
      </rPr>
      <t/>
    </r>
  </si>
  <si>
    <t>1.05^(-55)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</si>
  <si>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^(-50)</t>
    </r>
    <r>
      <rPr>
        <sz val="12"/>
        <color theme="1"/>
        <rFont val="新細明體"/>
        <family val="2"/>
        <scheme val="minor"/>
      </rPr>
      <t/>
    </r>
  </si>
  <si>
    <t>1.05^(-45)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</si>
  <si>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^(-40)</t>
    </r>
    <r>
      <rPr>
        <sz val="12"/>
        <color theme="1"/>
        <rFont val="新細明體"/>
        <family val="2"/>
        <scheme val="minor"/>
      </rPr>
      <t/>
    </r>
  </si>
  <si>
    <t>1.05^(-35)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</si>
  <si>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^(-30)</t>
    </r>
    <r>
      <rPr>
        <sz val="12"/>
        <color theme="1"/>
        <rFont val="新細明體"/>
        <family val="2"/>
        <scheme val="minor"/>
      </rPr>
      <t/>
    </r>
  </si>
  <si>
    <t>1.05^(-25)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</si>
  <si>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^(-20)</t>
    </r>
    <r>
      <rPr>
        <sz val="12"/>
        <color theme="1"/>
        <rFont val="新細明體"/>
        <family val="2"/>
        <scheme val="minor"/>
      </rPr>
      <t/>
    </r>
  </si>
  <si>
    <t>1.05^(-15)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</si>
  <si>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^(-10)</t>
    </r>
    <r>
      <rPr>
        <sz val="12"/>
        <color theme="1"/>
        <rFont val="新細明體"/>
        <family val="2"/>
        <scheme val="minor"/>
      </rPr>
      <t/>
    </r>
  </si>
  <si>
    <t>1.05^(-5)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</si>
  <si>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^(0)</t>
    </r>
    <phoneticPr fontId="3" type="noConversion"/>
  </si>
  <si>
    <t>1.05^(5)</t>
    <phoneticPr fontId="3" type="noConversion"/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</si>
  <si>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^(10)</t>
    </r>
    <r>
      <rPr>
        <sz val="12"/>
        <color theme="1"/>
        <rFont val="新細明體"/>
        <family val="2"/>
        <scheme val="minor"/>
      </rPr>
      <t/>
    </r>
  </si>
  <si>
    <t>1.05^(15)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</si>
  <si>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^(20)</t>
    </r>
    <r>
      <rPr>
        <sz val="12"/>
        <color theme="1"/>
        <rFont val="新細明體"/>
        <family val="2"/>
        <scheme val="minor"/>
      </rPr>
      <t/>
    </r>
  </si>
  <si>
    <t>1.05^(25)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</si>
  <si>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^(30)</t>
    </r>
    <r>
      <rPr>
        <sz val="12"/>
        <color theme="1"/>
        <rFont val="新細明體"/>
        <family val="2"/>
        <scheme val="minor"/>
      </rPr>
      <t/>
    </r>
  </si>
  <si>
    <t>1.05^(35)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</si>
  <si>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^(40)</t>
    </r>
    <r>
      <rPr>
        <sz val="12"/>
        <color theme="1"/>
        <rFont val="新細明體"/>
        <family val="2"/>
        <scheme val="minor"/>
      </rPr>
      <t/>
    </r>
  </si>
  <si>
    <t>1.05^(45)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</si>
  <si>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^(50)</t>
    </r>
    <r>
      <rPr>
        <sz val="12"/>
        <color theme="1"/>
        <rFont val="新細明體"/>
        <family val="2"/>
        <scheme val="minor"/>
      </rPr>
      <t/>
    </r>
  </si>
  <si>
    <t>1.05^(55)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</si>
  <si>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^(60)</t>
    </r>
    <r>
      <rPr>
        <sz val="12"/>
        <color theme="1"/>
        <rFont val="新細明體"/>
        <family val="2"/>
        <scheme val="minor"/>
      </rPr>
      <t/>
    </r>
  </si>
  <si>
    <t>1.05^(65)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</si>
  <si>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^(70)</t>
    </r>
    <r>
      <rPr>
        <sz val="12"/>
        <color theme="1"/>
        <rFont val="新細明體"/>
        <family val="2"/>
        <scheme val="minor"/>
      </rPr>
      <t/>
    </r>
  </si>
  <si>
    <t>1.05^(75)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</si>
  <si>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^(80)</t>
    </r>
    <r>
      <rPr>
        <sz val="12"/>
        <color theme="1"/>
        <rFont val="新細明體"/>
        <family val="2"/>
        <scheme val="minor"/>
      </rPr>
      <t/>
    </r>
  </si>
  <si>
    <t>1.05^(85)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</si>
  <si>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^(90)</t>
    </r>
    <r>
      <rPr>
        <sz val="12"/>
        <color theme="1"/>
        <rFont val="新細明體"/>
        <family val="2"/>
        <scheme val="minor"/>
      </rPr>
      <t/>
    </r>
  </si>
  <si>
    <t>1.05^(95)</t>
  </si>
  <si>
    <r>
      <rPr>
        <sz val="11"/>
        <color theme="1"/>
        <rFont val="Calibri"/>
        <family val="2"/>
        <charset val="161"/>
      </rPr>
      <t>1.05</t>
    </r>
    <r>
      <rPr>
        <sz val="11"/>
        <color theme="1"/>
        <rFont val="新細明體"/>
        <family val="2"/>
        <scheme val="minor"/>
      </rPr>
      <t>^(100)</t>
    </r>
    <r>
      <rPr>
        <sz val="12"/>
        <color theme="1"/>
        <rFont val="新細明體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</si>
</sst>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b/>
      <sz val="11"/>
      <name val="Calibri"/>
      <family val="2"/>
    </font>
    <font>
      <b/>
      <sz val="11"/>
      <name val="新細明體"/>
      <family val="2"/>
    </font>
    <font>
      <sz val="11"/>
      <color theme="1"/>
      <name val="Calibri"/>
      <family val="2"/>
      <charset val="161"/>
    </font>
    <font>
      <sz val="11"/>
      <color theme="1"/>
      <name val="新細明體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Grid search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Sheet1!$C$2:$C$42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57.33</c:v>
                </c:pt>
                <c:pt idx="6">
                  <c:v>47.33</c:v>
                </c:pt>
                <c:pt idx="7">
                  <c:v>50</c:v>
                </c:pt>
                <c:pt idx="8">
                  <c:v>57.33</c:v>
                </c:pt>
                <c:pt idx="9">
                  <c:v>64</c:v>
                </c:pt>
                <c:pt idx="10">
                  <c:v>65.33</c:v>
                </c:pt>
                <c:pt idx="11">
                  <c:v>74</c:v>
                </c:pt>
                <c:pt idx="12">
                  <c:v>84.67</c:v>
                </c:pt>
                <c:pt idx="13">
                  <c:v>90.67</c:v>
                </c:pt>
                <c:pt idx="14">
                  <c:v>94.67</c:v>
                </c:pt>
                <c:pt idx="15">
                  <c:v>95.33</c:v>
                </c:pt>
                <c:pt idx="16">
                  <c:v>95.33</c:v>
                </c:pt>
                <c:pt idx="17">
                  <c:v>95.33</c:v>
                </c:pt>
                <c:pt idx="18">
                  <c:v>94.67</c:v>
                </c:pt>
                <c:pt idx="19">
                  <c:v>96</c:v>
                </c:pt>
                <c:pt idx="20">
                  <c:v>95.33</c:v>
                </c:pt>
                <c:pt idx="21">
                  <c:v>96</c:v>
                </c:pt>
                <c:pt idx="22">
                  <c:v>95.33</c:v>
                </c:pt>
                <c:pt idx="23">
                  <c:v>95.33</c:v>
                </c:pt>
                <c:pt idx="24">
                  <c:v>95.33</c:v>
                </c:pt>
                <c:pt idx="25">
                  <c:v>94.67</c:v>
                </c:pt>
                <c:pt idx="26">
                  <c:v>94.67</c:v>
                </c:pt>
                <c:pt idx="27">
                  <c:v>93.33</c:v>
                </c:pt>
                <c:pt idx="28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37-451A-BAC2-85ED08DEBDEB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C=5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52</c:v>
                </c:pt>
                <c:pt idx="6">
                  <c:v>47.33</c:v>
                </c:pt>
                <c:pt idx="7">
                  <c:v>54.67</c:v>
                </c:pt>
                <c:pt idx="8">
                  <c:v>57.33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94.67</c:v>
                </c:pt>
                <c:pt idx="17">
                  <c:v>95.33</c:v>
                </c:pt>
                <c:pt idx="18">
                  <c:v>95.33</c:v>
                </c:pt>
                <c:pt idx="19">
                  <c:v>95.33</c:v>
                </c:pt>
                <c:pt idx="20">
                  <c:v>95.33</c:v>
                </c:pt>
                <c:pt idx="21">
                  <c:v>95.33</c:v>
                </c:pt>
                <c:pt idx="22">
                  <c:v>96</c:v>
                </c:pt>
                <c:pt idx="23">
                  <c:v>96</c:v>
                </c:pt>
                <c:pt idx="24">
                  <c:v>96</c:v>
                </c:pt>
                <c:pt idx="25">
                  <c:v>95.33</c:v>
                </c:pt>
                <c:pt idx="26">
                  <c:v>96.67</c:v>
                </c:pt>
                <c:pt idx="27">
                  <c:v>95.33</c:v>
                </c:pt>
                <c:pt idx="28">
                  <c:v>95.33</c:v>
                </c:pt>
                <c:pt idx="29">
                  <c:v>94.67</c:v>
                </c:pt>
                <c:pt idx="30">
                  <c:v>93.33</c:v>
                </c:pt>
                <c:pt idx="31">
                  <c:v>90.67</c:v>
                </c:pt>
                <c:pt idx="32">
                  <c:v>90.67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37-451A-BAC2-85ED08DEBDEB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C=10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Sheet1!$E$2:$E$42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52</c:v>
                </c:pt>
                <c:pt idx="6">
                  <c:v>47.33</c:v>
                </c:pt>
                <c:pt idx="7">
                  <c:v>54.67</c:v>
                </c:pt>
                <c:pt idx="8">
                  <c:v>57.33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95.33</c:v>
                </c:pt>
                <c:pt idx="18">
                  <c:v>95.33</c:v>
                </c:pt>
                <c:pt idx="19">
                  <c:v>95.33</c:v>
                </c:pt>
                <c:pt idx="20">
                  <c:v>94.67</c:v>
                </c:pt>
                <c:pt idx="21">
                  <c:v>96.67</c:v>
                </c:pt>
                <c:pt idx="22">
                  <c:v>96</c:v>
                </c:pt>
                <c:pt idx="23">
                  <c:v>95.33</c:v>
                </c:pt>
                <c:pt idx="24">
                  <c:v>96</c:v>
                </c:pt>
                <c:pt idx="25">
                  <c:v>96</c:v>
                </c:pt>
                <c:pt idx="26">
                  <c:v>95.33</c:v>
                </c:pt>
                <c:pt idx="27">
                  <c:v>98</c:v>
                </c:pt>
                <c:pt idx="28">
                  <c:v>96</c:v>
                </c:pt>
                <c:pt idx="29">
                  <c:v>95.33</c:v>
                </c:pt>
                <c:pt idx="30">
                  <c:v>94.67</c:v>
                </c:pt>
                <c:pt idx="31">
                  <c:v>93.33</c:v>
                </c:pt>
                <c:pt idx="32">
                  <c:v>92.67</c:v>
                </c:pt>
                <c:pt idx="34">
                  <c:v>92.67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37-451A-BAC2-85ED08DEBDEB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C=50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Sheet1!$F$2:$F$42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52</c:v>
                </c:pt>
                <c:pt idx="6">
                  <c:v>47.33</c:v>
                </c:pt>
                <c:pt idx="7">
                  <c:v>54.67</c:v>
                </c:pt>
                <c:pt idx="8">
                  <c:v>57.33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96.67</c:v>
                </c:pt>
                <c:pt idx="18">
                  <c:v>96</c:v>
                </c:pt>
                <c:pt idx="19">
                  <c:v>94.67</c:v>
                </c:pt>
                <c:pt idx="20">
                  <c:v>95.33</c:v>
                </c:pt>
                <c:pt idx="21">
                  <c:v>96</c:v>
                </c:pt>
                <c:pt idx="22">
                  <c:v>94.67</c:v>
                </c:pt>
                <c:pt idx="23">
                  <c:v>94</c:v>
                </c:pt>
                <c:pt idx="24">
                  <c:v>97.33</c:v>
                </c:pt>
                <c:pt idx="25">
                  <c:v>98</c:v>
                </c:pt>
                <c:pt idx="26">
                  <c:v>96</c:v>
                </c:pt>
                <c:pt idx="27">
                  <c:v>96.67</c:v>
                </c:pt>
                <c:pt idx="28">
                  <c:v>96.67</c:v>
                </c:pt>
                <c:pt idx="29">
                  <c:v>96</c:v>
                </c:pt>
                <c:pt idx="30">
                  <c:v>95.33</c:v>
                </c:pt>
                <c:pt idx="31">
                  <c:v>96.67</c:v>
                </c:pt>
                <c:pt idx="32">
                  <c:v>95.33</c:v>
                </c:pt>
                <c:pt idx="33">
                  <c:v>94.67</c:v>
                </c:pt>
                <c:pt idx="34">
                  <c:v>93.33</c:v>
                </c:pt>
                <c:pt idx="35">
                  <c:v>92.67</c:v>
                </c:pt>
                <c:pt idx="36">
                  <c:v>92</c:v>
                </c:pt>
                <c:pt idx="37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37-451A-BAC2-85ED08DEBDEB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C=100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Sheet1!$G$2:$G$42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52</c:v>
                </c:pt>
                <c:pt idx="6">
                  <c:v>47.33</c:v>
                </c:pt>
                <c:pt idx="7">
                  <c:v>54.67</c:v>
                </c:pt>
                <c:pt idx="8">
                  <c:v>57.33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96.67</c:v>
                </c:pt>
                <c:pt idx="18">
                  <c:v>96.67</c:v>
                </c:pt>
                <c:pt idx="19">
                  <c:v>94.67</c:v>
                </c:pt>
                <c:pt idx="20">
                  <c:v>95.33</c:v>
                </c:pt>
                <c:pt idx="21">
                  <c:v>96.67</c:v>
                </c:pt>
                <c:pt idx="22">
                  <c:v>96</c:v>
                </c:pt>
                <c:pt idx="23">
                  <c:v>95.33</c:v>
                </c:pt>
                <c:pt idx="24">
                  <c:v>94.67</c:v>
                </c:pt>
                <c:pt idx="25">
                  <c:v>97.33</c:v>
                </c:pt>
                <c:pt idx="26">
                  <c:v>98</c:v>
                </c:pt>
                <c:pt idx="27">
                  <c:v>98.67</c:v>
                </c:pt>
                <c:pt idx="28">
                  <c:v>96.67</c:v>
                </c:pt>
                <c:pt idx="29">
                  <c:v>96.67</c:v>
                </c:pt>
                <c:pt idx="30">
                  <c:v>97.33</c:v>
                </c:pt>
                <c:pt idx="31">
                  <c:v>96</c:v>
                </c:pt>
                <c:pt idx="32">
                  <c:v>97.33</c:v>
                </c:pt>
                <c:pt idx="33">
                  <c:v>94</c:v>
                </c:pt>
                <c:pt idx="34">
                  <c:v>94.67</c:v>
                </c:pt>
                <c:pt idx="35">
                  <c:v>95.33</c:v>
                </c:pt>
                <c:pt idx="36">
                  <c:v>93.33</c:v>
                </c:pt>
                <c:pt idx="37">
                  <c:v>90.67</c:v>
                </c:pt>
                <c:pt idx="38">
                  <c:v>92</c:v>
                </c:pt>
                <c:pt idx="39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37-451A-BAC2-85ED08DEBDEB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C=500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Sheet1!$H$2:$H$42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52</c:v>
                </c:pt>
                <c:pt idx="6">
                  <c:v>47.33</c:v>
                </c:pt>
                <c:pt idx="7">
                  <c:v>54.67</c:v>
                </c:pt>
                <c:pt idx="8">
                  <c:v>57.33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96.67</c:v>
                </c:pt>
                <c:pt idx="18">
                  <c:v>96.67</c:v>
                </c:pt>
                <c:pt idx="19">
                  <c:v>95.33</c:v>
                </c:pt>
                <c:pt idx="20">
                  <c:v>96</c:v>
                </c:pt>
                <c:pt idx="21">
                  <c:v>95.33</c:v>
                </c:pt>
                <c:pt idx="22">
                  <c:v>95.33</c:v>
                </c:pt>
                <c:pt idx="23">
                  <c:v>95.33</c:v>
                </c:pt>
                <c:pt idx="24">
                  <c:v>95.33</c:v>
                </c:pt>
                <c:pt idx="25">
                  <c:v>95.33</c:v>
                </c:pt>
                <c:pt idx="26">
                  <c:v>96</c:v>
                </c:pt>
                <c:pt idx="27">
                  <c:v>96.67</c:v>
                </c:pt>
                <c:pt idx="28">
                  <c:v>98</c:v>
                </c:pt>
                <c:pt idx="29">
                  <c:v>98.67</c:v>
                </c:pt>
                <c:pt idx="30">
                  <c:v>98.67</c:v>
                </c:pt>
                <c:pt idx="31">
                  <c:v>96.67</c:v>
                </c:pt>
                <c:pt idx="32">
                  <c:v>96.67</c:v>
                </c:pt>
                <c:pt idx="33">
                  <c:v>97.33</c:v>
                </c:pt>
                <c:pt idx="34">
                  <c:v>95.33</c:v>
                </c:pt>
                <c:pt idx="35">
                  <c:v>98.67</c:v>
                </c:pt>
                <c:pt idx="36">
                  <c:v>96.67</c:v>
                </c:pt>
                <c:pt idx="37">
                  <c:v>95.33</c:v>
                </c:pt>
                <c:pt idx="38">
                  <c:v>94.67</c:v>
                </c:pt>
                <c:pt idx="39">
                  <c:v>94.67</c:v>
                </c:pt>
                <c:pt idx="40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37-451A-BAC2-85ED08DEBDEB}"/>
            </c:ext>
          </c:extLst>
        </c:ser>
        <c:ser>
          <c:idx val="6"/>
          <c:order val="6"/>
          <c:tx>
            <c:strRef>
              <c:f>Sheet1!$I$1</c:f>
              <c:strCache>
                <c:ptCount val="1"/>
                <c:pt idx="0">
                  <c:v>C=1000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Sheet1!$I$2:$I$42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52</c:v>
                </c:pt>
                <c:pt idx="6">
                  <c:v>47.33</c:v>
                </c:pt>
                <c:pt idx="7">
                  <c:v>54.67</c:v>
                </c:pt>
                <c:pt idx="8">
                  <c:v>57.33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96.67</c:v>
                </c:pt>
                <c:pt idx="18">
                  <c:v>96.67</c:v>
                </c:pt>
                <c:pt idx="19">
                  <c:v>95.33</c:v>
                </c:pt>
                <c:pt idx="20">
                  <c:v>96</c:v>
                </c:pt>
                <c:pt idx="21">
                  <c:v>96</c:v>
                </c:pt>
                <c:pt idx="22">
                  <c:v>94.67</c:v>
                </c:pt>
                <c:pt idx="23">
                  <c:v>94.67</c:v>
                </c:pt>
                <c:pt idx="24">
                  <c:v>95.33</c:v>
                </c:pt>
                <c:pt idx="25">
                  <c:v>95.33</c:v>
                </c:pt>
                <c:pt idx="26">
                  <c:v>94.67</c:v>
                </c:pt>
                <c:pt idx="27">
                  <c:v>96</c:v>
                </c:pt>
                <c:pt idx="28">
                  <c:v>96</c:v>
                </c:pt>
                <c:pt idx="29">
                  <c:v>97.33</c:v>
                </c:pt>
                <c:pt idx="30">
                  <c:v>98</c:v>
                </c:pt>
                <c:pt idx="31">
                  <c:v>98.67</c:v>
                </c:pt>
                <c:pt idx="32">
                  <c:v>98.67</c:v>
                </c:pt>
                <c:pt idx="33">
                  <c:v>96.67</c:v>
                </c:pt>
                <c:pt idx="34">
                  <c:v>96.67</c:v>
                </c:pt>
                <c:pt idx="35">
                  <c:v>96.67</c:v>
                </c:pt>
                <c:pt idx="36">
                  <c:v>95.33</c:v>
                </c:pt>
                <c:pt idx="37">
                  <c:v>97.33</c:v>
                </c:pt>
                <c:pt idx="38">
                  <c:v>95.33</c:v>
                </c:pt>
                <c:pt idx="39">
                  <c:v>95.33</c:v>
                </c:pt>
                <c:pt idx="40">
                  <c:v>94.67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37-451A-BAC2-85ED08DEB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3033232"/>
        <c:axId val="1763029872"/>
      </c:lineChart>
      <c:catAx>
        <c:axId val="176303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log(sigma)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3029872"/>
        <c:crosses val="autoZero"/>
        <c:auto val="1"/>
        <c:lblAlgn val="ctr"/>
        <c:lblOffset val="100"/>
        <c:noMultiLvlLbl val="0"/>
      </c:catAx>
      <c:valAx>
        <c:axId val="1763029872"/>
        <c:scaling>
          <c:orientation val="minMax"/>
          <c:max val="100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Accuracy (%)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6303323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Grid Search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Sheet1!$C$2:$C$42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57.33</c:v>
                </c:pt>
                <c:pt idx="6">
                  <c:v>47.33</c:v>
                </c:pt>
                <c:pt idx="7">
                  <c:v>50</c:v>
                </c:pt>
                <c:pt idx="8">
                  <c:v>57.33</c:v>
                </c:pt>
                <c:pt idx="9">
                  <c:v>64</c:v>
                </c:pt>
                <c:pt idx="10">
                  <c:v>65.33</c:v>
                </c:pt>
                <c:pt idx="11">
                  <c:v>74</c:v>
                </c:pt>
                <c:pt idx="12">
                  <c:v>84.67</c:v>
                </c:pt>
                <c:pt idx="13">
                  <c:v>90.67</c:v>
                </c:pt>
                <c:pt idx="14">
                  <c:v>94.67</c:v>
                </c:pt>
                <c:pt idx="15">
                  <c:v>95.33</c:v>
                </c:pt>
                <c:pt idx="16">
                  <c:v>95.33</c:v>
                </c:pt>
                <c:pt idx="17">
                  <c:v>95.33</c:v>
                </c:pt>
                <c:pt idx="18">
                  <c:v>94.67</c:v>
                </c:pt>
                <c:pt idx="19">
                  <c:v>96</c:v>
                </c:pt>
                <c:pt idx="20">
                  <c:v>95.33</c:v>
                </c:pt>
                <c:pt idx="21">
                  <c:v>96</c:v>
                </c:pt>
                <c:pt idx="22">
                  <c:v>95.33</c:v>
                </c:pt>
                <c:pt idx="23">
                  <c:v>95.33</c:v>
                </c:pt>
                <c:pt idx="24">
                  <c:v>95.33</c:v>
                </c:pt>
                <c:pt idx="25">
                  <c:v>94.67</c:v>
                </c:pt>
                <c:pt idx="26">
                  <c:v>94.67</c:v>
                </c:pt>
                <c:pt idx="27">
                  <c:v>93.33</c:v>
                </c:pt>
                <c:pt idx="28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41-42E2-867C-99D927D19C78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C=5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52</c:v>
                </c:pt>
                <c:pt idx="6">
                  <c:v>47.33</c:v>
                </c:pt>
                <c:pt idx="7">
                  <c:v>54.67</c:v>
                </c:pt>
                <c:pt idx="8">
                  <c:v>57.33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94.67</c:v>
                </c:pt>
                <c:pt idx="17">
                  <c:v>95.33</c:v>
                </c:pt>
                <c:pt idx="18">
                  <c:v>95.33</c:v>
                </c:pt>
                <c:pt idx="19">
                  <c:v>95.33</c:v>
                </c:pt>
                <c:pt idx="20">
                  <c:v>95.33</c:v>
                </c:pt>
                <c:pt idx="21">
                  <c:v>95.33</c:v>
                </c:pt>
                <c:pt idx="22">
                  <c:v>96</c:v>
                </c:pt>
                <c:pt idx="23">
                  <c:v>96</c:v>
                </c:pt>
                <c:pt idx="24">
                  <c:v>96</c:v>
                </c:pt>
                <c:pt idx="25">
                  <c:v>95.33</c:v>
                </c:pt>
                <c:pt idx="26">
                  <c:v>96.67</c:v>
                </c:pt>
                <c:pt idx="27">
                  <c:v>95.33</c:v>
                </c:pt>
                <c:pt idx="28">
                  <c:v>95.33</c:v>
                </c:pt>
                <c:pt idx="29">
                  <c:v>94.67</c:v>
                </c:pt>
                <c:pt idx="30">
                  <c:v>93.33</c:v>
                </c:pt>
                <c:pt idx="31">
                  <c:v>90.67</c:v>
                </c:pt>
                <c:pt idx="32">
                  <c:v>90.67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41-42E2-867C-99D927D19C78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C=10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Sheet1!$E$2:$E$42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52</c:v>
                </c:pt>
                <c:pt idx="6">
                  <c:v>47.33</c:v>
                </c:pt>
                <c:pt idx="7">
                  <c:v>54.67</c:v>
                </c:pt>
                <c:pt idx="8">
                  <c:v>57.33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95.33</c:v>
                </c:pt>
                <c:pt idx="18">
                  <c:v>95.33</c:v>
                </c:pt>
                <c:pt idx="19">
                  <c:v>95.33</c:v>
                </c:pt>
                <c:pt idx="20">
                  <c:v>94.67</c:v>
                </c:pt>
                <c:pt idx="21">
                  <c:v>96.67</c:v>
                </c:pt>
                <c:pt idx="22">
                  <c:v>96</c:v>
                </c:pt>
                <c:pt idx="23">
                  <c:v>95.33</c:v>
                </c:pt>
                <c:pt idx="24">
                  <c:v>96</c:v>
                </c:pt>
                <c:pt idx="25">
                  <c:v>96</c:v>
                </c:pt>
                <c:pt idx="26">
                  <c:v>95.33</c:v>
                </c:pt>
                <c:pt idx="27">
                  <c:v>98</c:v>
                </c:pt>
                <c:pt idx="28">
                  <c:v>96</c:v>
                </c:pt>
                <c:pt idx="29">
                  <c:v>95.33</c:v>
                </c:pt>
                <c:pt idx="30">
                  <c:v>94.67</c:v>
                </c:pt>
                <c:pt idx="31">
                  <c:v>93.33</c:v>
                </c:pt>
                <c:pt idx="32">
                  <c:v>92.67</c:v>
                </c:pt>
                <c:pt idx="34">
                  <c:v>92.67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41-42E2-867C-99D927D19C78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C=50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Sheet1!$F$2:$F$42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52</c:v>
                </c:pt>
                <c:pt idx="6">
                  <c:v>47.33</c:v>
                </c:pt>
                <c:pt idx="7">
                  <c:v>54.67</c:v>
                </c:pt>
                <c:pt idx="8">
                  <c:v>57.33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96.67</c:v>
                </c:pt>
                <c:pt idx="18">
                  <c:v>96</c:v>
                </c:pt>
                <c:pt idx="19">
                  <c:v>94.67</c:v>
                </c:pt>
                <c:pt idx="20">
                  <c:v>95.33</c:v>
                </c:pt>
                <c:pt idx="21">
                  <c:v>96</c:v>
                </c:pt>
                <c:pt idx="22">
                  <c:v>94.67</c:v>
                </c:pt>
                <c:pt idx="23">
                  <c:v>94</c:v>
                </c:pt>
                <c:pt idx="24">
                  <c:v>97.33</c:v>
                </c:pt>
                <c:pt idx="25">
                  <c:v>98</c:v>
                </c:pt>
                <c:pt idx="26">
                  <c:v>96</c:v>
                </c:pt>
                <c:pt idx="27">
                  <c:v>96.67</c:v>
                </c:pt>
                <c:pt idx="28">
                  <c:v>96.67</c:v>
                </c:pt>
                <c:pt idx="29">
                  <c:v>96</c:v>
                </c:pt>
                <c:pt idx="30">
                  <c:v>95.33</c:v>
                </c:pt>
                <c:pt idx="31">
                  <c:v>96.67</c:v>
                </c:pt>
                <c:pt idx="32">
                  <c:v>95.33</c:v>
                </c:pt>
                <c:pt idx="33">
                  <c:v>94.67</c:v>
                </c:pt>
                <c:pt idx="34">
                  <c:v>93.33</c:v>
                </c:pt>
                <c:pt idx="35">
                  <c:v>92.67</c:v>
                </c:pt>
                <c:pt idx="36">
                  <c:v>92</c:v>
                </c:pt>
                <c:pt idx="37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41-42E2-867C-99D927D19C78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C=100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Sheet1!$G$2:$G$42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52</c:v>
                </c:pt>
                <c:pt idx="6">
                  <c:v>47.33</c:v>
                </c:pt>
                <c:pt idx="7">
                  <c:v>54.67</c:v>
                </c:pt>
                <c:pt idx="8">
                  <c:v>57.33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96.67</c:v>
                </c:pt>
                <c:pt idx="18">
                  <c:v>96.67</c:v>
                </c:pt>
                <c:pt idx="19">
                  <c:v>94.67</c:v>
                </c:pt>
                <c:pt idx="20">
                  <c:v>95.33</c:v>
                </c:pt>
                <c:pt idx="21">
                  <c:v>96.67</c:v>
                </c:pt>
                <c:pt idx="22">
                  <c:v>96</c:v>
                </c:pt>
                <c:pt idx="23">
                  <c:v>95.33</c:v>
                </c:pt>
                <c:pt idx="24">
                  <c:v>94.67</c:v>
                </c:pt>
                <c:pt idx="25">
                  <c:v>97.33</c:v>
                </c:pt>
                <c:pt idx="26">
                  <c:v>98</c:v>
                </c:pt>
                <c:pt idx="27">
                  <c:v>98.67</c:v>
                </c:pt>
                <c:pt idx="28">
                  <c:v>96.67</c:v>
                </c:pt>
                <c:pt idx="29">
                  <c:v>96.67</c:v>
                </c:pt>
                <c:pt idx="30">
                  <c:v>97.33</c:v>
                </c:pt>
                <c:pt idx="31">
                  <c:v>96</c:v>
                </c:pt>
                <c:pt idx="32">
                  <c:v>97.33</c:v>
                </c:pt>
                <c:pt idx="33">
                  <c:v>94</c:v>
                </c:pt>
                <c:pt idx="34">
                  <c:v>94.67</c:v>
                </c:pt>
                <c:pt idx="35">
                  <c:v>95.33</c:v>
                </c:pt>
                <c:pt idx="36">
                  <c:v>93.33</c:v>
                </c:pt>
                <c:pt idx="37">
                  <c:v>90.67</c:v>
                </c:pt>
                <c:pt idx="38">
                  <c:v>92</c:v>
                </c:pt>
                <c:pt idx="39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41-42E2-867C-99D927D19C78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C=500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Sheet1!$H$2:$H$42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52</c:v>
                </c:pt>
                <c:pt idx="6">
                  <c:v>47.33</c:v>
                </c:pt>
                <c:pt idx="7">
                  <c:v>54.67</c:v>
                </c:pt>
                <c:pt idx="8">
                  <c:v>57.33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96.67</c:v>
                </c:pt>
                <c:pt idx="18">
                  <c:v>96.67</c:v>
                </c:pt>
                <c:pt idx="19">
                  <c:v>95.33</c:v>
                </c:pt>
                <c:pt idx="20">
                  <c:v>96</c:v>
                </c:pt>
                <c:pt idx="21">
                  <c:v>95.33</c:v>
                </c:pt>
                <c:pt idx="22">
                  <c:v>95.33</c:v>
                </c:pt>
                <c:pt idx="23">
                  <c:v>95.33</c:v>
                </c:pt>
                <c:pt idx="24">
                  <c:v>95.33</c:v>
                </c:pt>
                <c:pt idx="25">
                  <c:v>95.33</c:v>
                </c:pt>
                <c:pt idx="26">
                  <c:v>96</c:v>
                </c:pt>
                <c:pt idx="27">
                  <c:v>96.67</c:v>
                </c:pt>
                <c:pt idx="28">
                  <c:v>98</c:v>
                </c:pt>
                <c:pt idx="29">
                  <c:v>98.67</c:v>
                </c:pt>
                <c:pt idx="30">
                  <c:v>98.67</c:v>
                </c:pt>
                <c:pt idx="31">
                  <c:v>96.67</c:v>
                </c:pt>
                <c:pt idx="32">
                  <c:v>96.67</c:v>
                </c:pt>
                <c:pt idx="33">
                  <c:v>97.33</c:v>
                </c:pt>
                <c:pt idx="34">
                  <c:v>95.33</c:v>
                </c:pt>
                <c:pt idx="35">
                  <c:v>98.67</c:v>
                </c:pt>
                <c:pt idx="36">
                  <c:v>96.67</c:v>
                </c:pt>
                <c:pt idx="37">
                  <c:v>95.33</c:v>
                </c:pt>
                <c:pt idx="38">
                  <c:v>94.67</c:v>
                </c:pt>
                <c:pt idx="39">
                  <c:v>94.67</c:v>
                </c:pt>
                <c:pt idx="40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41-42E2-867C-99D927D19C78}"/>
            </c:ext>
          </c:extLst>
        </c:ser>
        <c:ser>
          <c:idx val="6"/>
          <c:order val="6"/>
          <c:tx>
            <c:strRef>
              <c:f>Sheet1!$I$1</c:f>
              <c:strCache>
                <c:ptCount val="1"/>
                <c:pt idx="0">
                  <c:v>C=1000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Sheet1!$I$2:$I$42</c:f>
              <c:numCache>
                <c:formatCode>General</c:formatCode>
                <c:ptCount val="41"/>
                <c:pt idx="0">
                  <c:v>61.33</c:v>
                </c:pt>
                <c:pt idx="1">
                  <c:v>80.67</c:v>
                </c:pt>
                <c:pt idx="2">
                  <c:v>64</c:v>
                </c:pt>
                <c:pt idx="3">
                  <c:v>66.67</c:v>
                </c:pt>
                <c:pt idx="4">
                  <c:v>57.33</c:v>
                </c:pt>
                <c:pt idx="5">
                  <c:v>52</c:v>
                </c:pt>
                <c:pt idx="6">
                  <c:v>47.33</c:v>
                </c:pt>
                <c:pt idx="7">
                  <c:v>54.67</c:v>
                </c:pt>
                <c:pt idx="8">
                  <c:v>57.33</c:v>
                </c:pt>
                <c:pt idx="9">
                  <c:v>64</c:v>
                </c:pt>
                <c:pt idx="10">
                  <c:v>66.67</c:v>
                </c:pt>
                <c:pt idx="11">
                  <c:v>75.33</c:v>
                </c:pt>
                <c:pt idx="12">
                  <c:v>85.33</c:v>
                </c:pt>
                <c:pt idx="13">
                  <c:v>90</c:v>
                </c:pt>
                <c:pt idx="14">
                  <c:v>93.33</c:v>
                </c:pt>
                <c:pt idx="15">
                  <c:v>95.33</c:v>
                </c:pt>
                <c:pt idx="16">
                  <c:v>95.33</c:v>
                </c:pt>
                <c:pt idx="17">
                  <c:v>96.67</c:v>
                </c:pt>
                <c:pt idx="18">
                  <c:v>96.67</c:v>
                </c:pt>
                <c:pt idx="19">
                  <c:v>95.33</c:v>
                </c:pt>
                <c:pt idx="20">
                  <c:v>96</c:v>
                </c:pt>
                <c:pt idx="21">
                  <c:v>96</c:v>
                </c:pt>
                <c:pt idx="22">
                  <c:v>94.67</c:v>
                </c:pt>
                <c:pt idx="23">
                  <c:v>94.67</c:v>
                </c:pt>
                <c:pt idx="24">
                  <c:v>95.33</c:v>
                </c:pt>
                <c:pt idx="25">
                  <c:v>95.33</c:v>
                </c:pt>
                <c:pt idx="26">
                  <c:v>94.67</c:v>
                </c:pt>
                <c:pt idx="27">
                  <c:v>96</c:v>
                </c:pt>
                <c:pt idx="28">
                  <c:v>96</c:v>
                </c:pt>
                <c:pt idx="29">
                  <c:v>97.33</c:v>
                </c:pt>
                <c:pt idx="30">
                  <c:v>98</c:v>
                </c:pt>
                <c:pt idx="31">
                  <c:v>98.67</c:v>
                </c:pt>
                <c:pt idx="32">
                  <c:v>98.67</c:v>
                </c:pt>
                <c:pt idx="33">
                  <c:v>96.67</c:v>
                </c:pt>
                <c:pt idx="34">
                  <c:v>96.67</c:v>
                </c:pt>
                <c:pt idx="35">
                  <c:v>96.67</c:v>
                </c:pt>
                <c:pt idx="36">
                  <c:v>95.33</c:v>
                </c:pt>
                <c:pt idx="37">
                  <c:v>97.33</c:v>
                </c:pt>
                <c:pt idx="38">
                  <c:v>95.33</c:v>
                </c:pt>
                <c:pt idx="39">
                  <c:v>95.33</c:v>
                </c:pt>
                <c:pt idx="40">
                  <c:v>94.67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41-42E2-867C-99D927D19C78}"/>
            </c:ext>
          </c:extLst>
        </c:ser>
        <c:ser>
          <c:idx val="7"/>
          <c:order val="7"/>
          <c:tx>
            <c:strRef>
              <c:f>Sheet1!$J$1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Sheet1!$J$2:$J$42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41-42E2-867C-99D927D19C78}"/>
            </c:ext>
          </c:extLst>
        </c:ser>
        <c:ser>
          <c:idx val="8"/>
          <c:order val="8"/>
          <c:tx>
            <c:strRef>
              <c:f>Sheet1!$K$1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Sheet1!$K$2:$K$42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41-42E2-867C-99D927D19C78}"/>
            </c:ext>
          </c:extLst>
        </c:ser>
        <c:ser>
          <c:idx val="9"/>
          <c:order val="9"/>
          <c:tx>
            <c:strRef>
              <c:f>Sheet1!$L$1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Sheet1!$L$2:$L$42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41-42E2-867C-99D927D19C78}"/>
            </c:ext>
          </c:extLst>
        </c:ser>
        <c:ser>
          <c:idx val="10"/>
          <c:order val="10"/>
          <c:tx>
            <c:strRef>
              <c:f>Sheet1!$M$1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Sheet1!$M$2:$M$42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41-42E2-867C-99D927D19C78}"/>
            </c:ext>
          </c:extLst>
        </c:ser>
        <c:ser>
          <c:idx val="11"/>
          <c:order val="11"/>
          <c:tx>
            <c:strRef>
              <c:f>Sheet1!$N$1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Pt>
            <c:idx val="27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D441-42E2-867C-99D927D19C78}"/>
              </c:ext>
            </c:extLst>
          </c:dPt>
          <c:dLbls>
            <c:dLbl>
              <c:idx val="27"/>
              <c:layout>
                <c:manualLayout>
                  <c:x val="-0.13523294775408087"/>
                  <c:y val="-2.77917724325523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441-42E2-867C-99D927D19C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Sheet1!$N$2:$N$42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98.67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41-42E2-867C-99D927D19C78}"/>
            </c:ext>
          </c:extLst>
        </c:ser>
        <c:ser>
          <c:idx val="12"/>
          <c:order val="12"/>
          <c:tx>
            <c:strRef>
              <c:f>Sheet1!$O$1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29"/>
              <c:layout>
                <c:manualLayout>
                  <c:x val="-9.6625624948689162E-2"/>
                  <c:y val="-4.3118483876252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41-42E2-867C-99D927D19C78}"/>
                </c:ext>
              </c:extLst>
            </c:dLbl>
            <c:dLbl>
              <c:idx val="30"/>
              <c:layout>
                <c:manualLayout>
                  <c:x val="-2.8175567271821546E-2"/>
                  <c:y val="-5.7665304715656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41-42E2-867C-99D927D19C78}"/>
                </c:ext>
              </c:extLst>
            </c:dLbl>
            <c:dLbl>
              <c:idx val="35"/>
              <c:layout>
                <c:manualLayout>
                  <c:x val="4.6928724193254216E-2"/>
                  <c:y val="-4.67175280779668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441-42E2-867C-99D927D19C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Sheet1!$O$2:$O$42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98.67</c:v>
                </c:pt>
                <c:pt idx="30">
                  <c:v>98.67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98.67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41-42E2-867C-99D927D19C78}"/>
            </c:ext>
          </c:extLst>
        </c:ser>
        <c:ser>
          <c:idx val="13"/>
          <c:order val="13"/>
          <c:tx>
            <c:strRef>
              <c:f>Sheet1!$P$1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31"/>
              <c:layout>
                <c:manualLayout>
                  <c:x val="-8.2947893228917449E-3"/>
                  <c:y val="0.1209973455583603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441-42E2-867C-99D927D19C78}"/>
                </c:ext>
              </c:extLst>
            </c:dLbl>
            <c:dLbl>
              <c:idx val="32"/>
              <c:layout>
                <c:manualLayout>
                  <c:x val="2.2630691329267427E-2"/>
                  <c:y val="-5.05627609710033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41-42E2-867C-99D927D19C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Sheet1!$B$2:$B$42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Sheet1!$P$2:$P$42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98.67</c:v>
                </c:pt>
                <c:pt idx="32">
                  <c:v>98.67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41-42E2-867C-99D927D19C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61962319"/>
        <c:axId val="1361964239"/>
      </c:lineChart>
      <c:catAx>
        <c:axId val="1361962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log(sigma)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1964239"/>
        <c:crosses val="autoZero"/>
        <c:auto val="1"/>
        <c:lblAlgn val="ctr"/>
        <c:lblOffset val="100"/>
        <c:noMultiLvlLbl val="0"/>
      </c:catAx>
      <c:valAx>
        <c:axId val="1361964239"/>
        <c:scaling>
          <c:orientation val="minMax"/>
          <c:max val="100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Accuracy(%)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1962319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398026</xdr:colOff>
      <xdr:row>16</xdr:row>
      <xdr:rowOff>16598</xdr:rowOff>
    </xdr:from>
    <xdr:to>
      <xdr:col>27</xdr:col>
      <xdr:colOff>566196</xdr:colOff>
      <xdr:row>33</xdr:row>
      <xdr:rowOff>133134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2C20A7A-2B5E-214C-2502-FBECFD893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231075</xdr:colOff>
      <xdr:row>35</xdr:row>
      <xdr:rowOff>74650</xdr:rowOff>
    </xdr:from>
    <xdr:to>
      <xdr:col>27</xdr:col>
      <xdr:colOff>493208</xdr:colOff>
      <xdr:row>52</xdr:row>
      <xdr:rowOff>183709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4CFB92E6-78F9-9C04-C01F-8FF55FB45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topLeftCell="R33" zoomScale="132" zoomScaleNormal="235" workbookViewId="0">
      <selection activeCell="Z35" sqref="Z35"/>
    </sheetView>
  </sheetViews>
  <sheetFormatPr defaultRowHeight="15" x14ac:dyDescent="0.45"/>
  <sheetData>
    <row r="1" spans="1:17" x14ac:dyDescent="0.4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17" x14ac:dyDescent="0.45">
      <c r="A2" s="2" t="s">
        <v>47</v>
      </c>
      <c r="B2" s="3">
        <v>-100</v>
      </c>
      <c r="C2">
        <v>61.33</v>
      </c>
      <c r="D2">
        <v>61.33</v>
      </c>
      <c r="E2">
        <v>61.33</v>
      </c>
      <c r="F2">
        <v>61.33</v>
      </c>
      <c r="G2">
        <v>61.33</v>
      </c>
      <c r="H2">
        <v>61.33</v>
      </c>
      <c r="I2">
        <v>61.33</v>
      </c>
      <c r="J2" t="e">
        <f>IF(C2=MAX($C2:$I42), C2, NA())</f>
        <v>#N/A</v>
      </c>
      <c r="K2" t="e">
        <f t="shared" ref="K2:P2" si="0">IF(D2=MAX($C2:$I42), D2, NA())</f>
        <v>#N/A</v>
      </c>
      <c r="L2" t="e">
        <f t="shared" si="0"/>
        <v>#N/A</v>
      </c>
      <c r="M2" t="e">
        <f t="shared" si="0"/>
        <v>#N/A</v>
      </c>
      <c r="N2" t="e">
        <f t="shared" si="0"/>
        <v>#N/A</v>
      </c>
      <c r="O2" t="e">
        <f t="shared" si="0"/>
        <v>#N/A</v>
      </c>
      <c r="P2" t="e">
        <f t="shared" si="0"/>
        <v>#N/A</v>
      </c>
      <c r="Q2" s="3" t="s">
        <v>48</v>
      </c>
    </row>
    <row r="3" spans="1:17" x14ac:dyDescent="0.45">
      <c r="A3" s="1" t="s">
        <v>7</v>
      </c>
      <c r="B3" s="3">
        <v>-95</v>
      </c>
      <c r="C3">
        <v>80.67</v>
      </c>
      <c r="D3">
        <v>80.67</v>
      </c>
      <c r="E3">
        <v>80.67</v>
      </c>
      <c r="F3">
        <v>80.67</v>
      </c>
      <c r="G3">
        <v>80.67</v>
      </c>
      <c r="H3">
        <v>80.67</v>
      </c>
      <c r="I3">
        <v>80.67</v>
      </c>
      <c r="J3" t="e">
        <f t="shared" ref="J3:J41" si="1">IF(C3=MAX($C3:$I43), C3, NA())</f>
        <v>#N/A</v>
      </c>
      <c r="K3" t="e">
        <f t="shared" ref="K3:K41" si="2">IF(D3=MAX($C3:$I43), D3, NA())</f>
        <v>#N/A</v>
      </c>
      <c r="L3" t="e">
        <f t="shared" ref="L3:L41" si="3">IF(E3=MAX($C3:$I43), E3, NA())</f>
        <v>#N/A</v>
      </c>
      <c r="M3" t="e">
        <f t="shared" ref="M3:M41" si="4">IF(F3=MAX($C3:$I43), F3, NA())</f>
        <v>#N/A</v>
      </c>
      <c r="N3" t="e">
        <f t="shared" ref="N3:N41" si="5">IF(G3=MAX($C3:$I43), G3, NA())</f>
        <v>#N/A</v>
      </c>
      <c r="O3" t="e">
        <f t="shared" ref="O3:O41" si="6">IF(H3=MAX($C3:$I43), H3, NA())</f>
        <v>#N/A</v>
      </c>
      <c r="P3" t="e">
        <f t="shared" ref="P3:P41" si="7">IF(I3=MAX($C3:$I43), I3, NA())</f>
        <v>#N/A</v>
      </c>
      <c r="Q3" t="s">
        <v>49</v>
      </c>
    </row>
    <row r="4" spans="1:17" ht="16.149999999999999" x14ac:dyDescent="0.45">
      <c r="A4" s="1" t="s">
        <v>8</v>
      </c>
      <c r="B4">
        <v>-90</v>
      </c>
      <c r="C4">
        <v>64</v>
      </c>
      <c r="D4">
        <v>64</v>
      </c>
      <c r="E4">
        <v>64</v>
      </c>
      <c r="F4">
        <v>64</v>
      </c>
      <c r="G4">
        <v>64</v>
      </c>
      <c r="H4">
        <v>64</v>
      </c>
      <c r="I4">
        <v>64</v>
      </c>
      <c r="J4" t="e">
        <f t="shared" si="1"/>
        <v>#N/A</v>
      </c>
      <c r="K4" t="e">
        <f t="shared" si="2"/>
        <v>#N/A</v>
      </c>
      <c r="L4" t="e">
        <f t="shared" si="3"/>
        <v>#N/A</v>
      </c>
      <c r="M4" t="e">
        <f t="shared" si="4"/>
        <v>#N/A</v>
      </c>
      <c r="N4" t="e">
        <f t="shared" si="5"/>
        <v>#N/A</v>
      </c>
      <c r="O4" t="e">
        <f t="shared" si="6"/>
        <v>#N/A</v>
      </c>
      <c r="P4" t="e">
        <f t="shared" si="7"/>
        <v>#N/A</v>
      </c>
      <c r="Q4" s="3" t="s">
        <v>50</v>
      </c>
    </row>
    <row r="5" spans="1:17" x14ac:dyDescent="0.45">
      <c r="A5" s="1" t="s">
        <v>9</v>
      </c>
      <c r="B5">
        <v>-85</v>
      </c>
      <c r="C5">
        <v>66.67</v>
      </c>
      <c r="D5">
        <v>66.67</v>
      </c>
      <c r="E5">
        <v>66.67</v>
      </c>
      <c r="F5">
        <v>66.67</v>
      </c>
      <c r="G5">
        <v>66.67</v>
      </c>
      <c r="H5">
        <v>66.67</v>
      </c>
      <c r="I5">
        <v>66.67</v>
      </c>
      <c r="J5" t="e">
        <f t="shared" si="1"/>
        <v>#N/A</v>
      </c>
      <c r="K5" t="e">
        <f t="shared" si="2"/>
        <v>#N/A</v>
      </c>
      <c r="L5" t="e">
        <f t="shared" si="3"/>
        <v>#N/A</v>
      </c>
      <c r="M5" t="e">
        <f t="shared" si="4"/>
        <v>#N/A</v>
      </c>
      <c r="N5" t="e">
        <f t="shared" si="5"/>
        <v>#N/A</v>
      </c>
      <c r="O5" t="e">
        <f t="shared" si="6"/>
        <v>#N/A</v>
      </c>
      <c r="P5" t="e">
        <f t="shared" si="7"/>
        <v>#N/A</v>
      </c>
      <c r="Q5" t="s">
        <v>51</v>
      </c>
    </row>
    <row r="6" spans="1:17" ht="16.149999999999999" x14ac:dyDescent="0.45">
      <c r="A6" s="1" t="s">
        <v>10</v>
      </c>
      <c r="B6">
        <v>-80</v>
      </c>
      <c r="C6">
        <v>57.33</v>
      </c>
      <c r="D6">
        <v>57.33</v>
      </c>
      <c r="E6">
        <v>57.33</v>
      </c>
      <c r="F6">
        <v>57.33</v>
      </c>
      <c r="G6">
        <v>57.33</v>
      </c>
      <c r="H6">
        <v>57.33</v>
      </c>
      <c r="I6">
        <v>57.33</v>
      </c>
      <c r="J6" t="e">
        <f t="shared" si="1"/>
        <v>#N/A</v>
      </c>
      <c r="K6" t="e">
        <f t="shared" si="2"/>
        <v>#N/A</v>
      </c>
      <c r="L6" t="e">
        <f t="shared" si="3"/>
        <v>#N/A</v>
      </c>
      <c r="M6" t="e">
        <f t="shared" si="4"/>
        <v>#N/A</v>
      </c>
      <c r="N6" t="e">
        <f t="shared" si="5"/>
        <v>#N/A</v>
      </c>
      <c r="O6" t="e">
        <f t="shared" si="6"/>
        <v>#N/A</v>
      </c>
      <c r="P6" t="e">
        <f t="shared" si="7"/>
        <v>#N/A</v>
      </c>
      <c r="Q6" s="3" t="s">
        <v>52</v>
      </c>
    </row>
    <row r="7" spans="1:17" x14ac:dyDescent="0.45">
      <c r="A7" s="1" t="s">
        <v>11</v>
      </c>
      <c r="B7">
        <v>-75</v>
      </c>
      <c r="C7">
        <v>57.33</v>
      </c>
      <c r="D7">
        <v>52</v>
      </c>
      <c r="E7">
        <v>52</v>
      </c>
      <c r="F7">
        <v>52</v>
      </c>
      <c r="G7">
        <v>52</v>
      </c>
      <c r="H7">
        <v>52</v>
      </c>
      <c r="I7">
        <v>52</v>
      </c>
      <c r="J7" t="e">
        <f t="shared" si="1"/>
        <v>#N/A</v>
      </c>
      <c r="K7" t="e">
        <f t="shared" si="2"/>
        <v>#N/A</v>
      </c>
      <c r="L7" t="e">
        <f t="shared" si="3"/>
        <v>#N/A</v>
      </c>
      <c r="M7" t="e">
        <f t="shared" si="4"/>
        <v>#N/A</v>
      </c>
      <c r="N7" t="e">
        <f t="shared" si="5"/>
        <v>#N/A</v>
      </c>
      <c r="O7" t="e">
        <f t="shared" si="6"/>
        <v>#N/A</v>
      </c>
      <c r="P7" t="e">
        <f t="shared" si="7"/>
        <v>#N/A</v>
      </c>
      <c r="Q7" t="s">
        <v>53</v>
      </c>
    </row>
    <row r="8" spans="1:17" ht="16.149999999999999" x14ac:dyDescent="0.45">
      <c r="A8" s="1" t="s">
        <v>12</v>
      </c>
      <c r="B8">
        <v>-70</v>
      </c>
      <c r="C8">
        <v>47.33</v>
      </c>
      <c r="D8">
        <v>47.33</v>
      </c>
      <c r="E8">
        <v>47.33</v>
      </c>
      <c r="F8">
        <v>47.33</v>
      </c>
      <c r="G8">
        <v>47.33</v>
      </c>
      <c r="H8">
        <v>47.33</v>
      </c>
      <c r="I8">
        <v>47.33</v>
      </c>
      <c r="J8" t="e">
        <f t="shared" si="1"/>
        <v>#N/A</v>
      </c>
      <c r="K8" t="e">
        <f t="shared" si="2"/>
        <v>#N/A</v>
      </c>
      <c r="L8" t="e">
        <f t="shared" si="3"/>
        <v>#N/A</v>
      </c>
      <c r="M8" t="e">
        <f t="shared" si="4"/>
        <v>#N/A</v>
      </c>
      <c r="N8" t="e">
        <f t="shared" si="5"/>
        <v>#N/A</v>
      </c>
      <c r="O8" t="e">
        <f t="shared" si="6"/>
        <v>#N/A</v>
      </c>
      <c r="P8" t="e">
        <f t="shared" si="7"/>
        <v>#N/A</v>
      </c>
      <c r="Q8" s="3" t="s">
        <v>54</v>
      </c>
    </row>
    <row r="9" spans="1:17" x14ac:dyDescent="0.45">
      <c r="A9" s="1" t="s">
        <v>13</v>
      </c>
      <c r="B9">
        <v>-65</v>
      </c>
      <c r="C9">
        <v>50</v>
      </c>
      <c r="D9">
        <v>54.67</v>
      </c>
      <c r="E9">
        <v>54.67</v>
      </c>
      <c r="F9">
        <v>54.67</v>
      </c>
      <c r="G9">
        <v>54.67</v>
      </c>
      <c r="H9">
        <v>54.67</v>
      </c>
      <c r="I9">
        <v>54.67</v>
      </c>
      <c r="J9" t="e">
        <f t="shared" si="1"/>
        <v>#N/A</v>
      </c>
      <c r="K9" t="e">
        <f t="shared" si="2"/>
        <v>#N/A</v>
      </c>
      <c r="L9" t="e">
        <f t="shared" si="3"/>
        <v>#N/A</v>
      </c>
      <c r="M9" t="e">
        <f t="shared" si="4"/>
        <v>#N/A</v>
      </c>
      <c r="N9" t="e">
        <f t="shared" si="5"/>
        <v>#N/A</v>
      </c>
      <c r="O9" t="e">
        <f t="shared" si="6"/>
        <v>#N/A</v>
      </c>
      <c r="P9" t="e">
        <f t="shared" si="7"/>
        <v>#N/A</v>
      </c>
      <c r="Q9" t="s">
        <v>55</v>
      </c>
    </row>
    <row r="10" spans="1:17" ht="16.149999999999999" x14ac:dyDescent="0.45">
      <c r="A10" s="1" t="s">
        <v>14</v>
      </c>
      <c r="B10">
        <v>-60</v>
      </c>
      <c r="C10">
        <v>57.33</v>
      </c>
      <c r="D10">
        <v>57.33</v>
      </c>
      <c r="E10">
        <v>57.33</v>
      </c>
      <c r="F10">
        <v>57.33</v>
      </c>
      <c r="G10">
        <v>57.33</v>
      </c>
      <c r="H10">
        <v>57.33</v>
      </c>
      <c r="I10">
        <v>57.33</v>
      </c>
      <c r="J10" t="e">
        <f t="shared" si="1"/>
        <v>#N/A</v>
      </c>
      <c r="K10" t="e">
        <f t="shared" si="2"/>
        <v>#N/A</v>
      </c>
      <c r="L10" t="e">
        <f t="shared" si="3"/>
        <v>#N/A</v>
      </c>
      <c r="M10" t="e">
        <f t="shared" si="4"/>
        <v>#N/A</v>
      </c>
      <c r="N10" t="e">
        <f t="shared" si="5"/>
        <v>#N/A</v>
      </c>
      <c r="O10" t="e">
        <f t="shared" si="6"/>
        <v>#N/A</v>
      </c>
      <c r="P10" t="e">
        <f t="shared" si="7"/>
        <v>#N/A</v>
      </c>
      <c r="Q10" s="3" t="s">
        <v>56</v>
      </c>
    </row>
    <row r="11" spans="1:17" x14ac:dyDescent="0.45">
      <c r="A11" s="1" t="s">
        <v>15</v>
      </c>
      <c r="B11">
        <v>-55</v>
      </c>
      <c r="C11">
        <v>64</v>
      </c>
      <c r="D11">
        <v>64</v>
      </c>
      <c r="E11">
        <v>64</v>
      </c>
      <c r="F11">
        <v>64</v>
      </c>
      <c r="G11">
        <v>64</v>
      </c>
      <c r="H11">
        <v>64</v>
      </c>
      <c r="I11">
        <v>64</v>
      </c>
      <c r="J11" t="e">
        <f t="shared" si="1"/>
        <v>#N/A</v>
      </c>
      <c r="K11" t="e">
        <f t="shared" si="2"/>
        <v>#N/A</v>
      </c>
      <c r="L11" t="e">
        <f t="shared" si="3"/>
        <v>#N/A</v>
      </c>
      <c r="M11" t="e">
        <f t="shared" si="4"/>
        <v>#N/A</v>
      </c>
      <c r="N11" t="e">
        <f t="shared" si="5"/>
        <v>#N/A</v>
      </c>
      <c r="O11" t="e">
        <f t="shared" si="6"/>
        <v>#N/A</v>
      </c>
      <c r="P11" t="e">
        <f t="shared" si="7"/>
        <v>#N/A</v>
      </c>
      <c r="Q11" t="s">
        <v>57</v>
      </c>
    </row>
    <row r="12" spans="1:17" ht="16.149999999999999" x14ac:dyDescent="0.45">
      <c r="A12" s="1" t="s">
        <v>16</v>
      </c>
      <c r="B12">
        <v>-50</v>
      </c>
      <c r="C12">
        <v>65.33</v>
      </c>
      <c r="D12">
        <v>66.67</v>
      </c>
      <c r="E12">
        <v>66.67</v>
      </c>
      <c r="F12">
        <v>66.67</v>
      </c>
      <c r="G12">
        <v>66.67</v>
      </c>
      <c r="H12">
        <v>66.67</v>
      </c>
      <c r="I12">
        <v>66.67</v>
      </c>
      <c r="J12" t="e">
        <f t="shared" si="1"/>
        <v>#N/A</v>
      </c>
      <c r="K12" t="e">
        <f t="shared" si="2"/>
        <v>#N/A</v>
      </c>
      <c r="L12" t="e">
        <f t="shared" si="3"/>
        <v>#N/A</v>
      </c>
      <c r="M12" t="e">
        <f t="shared" si="4"/>
        <v>#N/A</v>
      </c>
      <c r="N12" t="e">
        <f t="shared" si="5"/>
        <v>#N/A</v>
      </c>
      <c r="O12" t="e">
        <f t="shared" si="6"/>
        <v>#N/A</v>
      </c>
      <c r="P12" t="e">
        <f t="shared" si="7"/>
        <v>#N/A</v>
      </c>
      <c r="Q12" s="3" t="s">
        <v>58</v>
      </c>
    </row>
    <row r="13" spans="1:17" x14ac:dyDescent="0.45">
      <c r="A13" s="1" t="s">
        <v>17</v>
      </c>
      <c r="B13">
        <v>-45</v>
      </c>
      <c r="C13">
        <v>74</v>
      </c>
      <c r="D13">
        <v>75.33</v>
      </c>
      <c r="E13">
        <v>75.33</v>
      </c>
      <c r="F13">
        <v>75.33</v>
      </c>
      <c r="G13">
        <v>75.33</v>
      </c>
      <c r="H13">
        <v>75.33</v>
      </c>
      <c r="I13">
        <v>75.33</v>
      </c>
      <c r="J13" t="e">
        <f t="shared" si="1"/>
        <v>#N/A</v>
      </c>
      <c r="K13" t="e">
        <f t="shared" si="2"/>
        <v>#N/A</v>
      </c>
      <c r="L13" t="e">
        <f t="shared" si="3"/>
        <v>#N/A</v>
      </c>
      <c r="M13" t="e">
        <f t="shared" si="4"/>
        <v>#N/A</v>
      </c>
      <c r="N13" t="e">
        <f t="shared" si="5"/>
        <v>#N/A</v>
      </c>
      <c r="O13" t="e">
        <f t="shared" si="6"/>
        <v>#N/A</v>
      </c>
      <c r="P13" t="e">
        <f t="shared" si="7"/>
        <v>#N/A</v>
      </c>
      <c r="Q13" t="s">
        <v>59</v>
      </c>
    </row>
    <row r="14" spans="1:17" ht="16.149999999999999" x14ac:dyDescent="0.45">
      <c r="A14" s="1" t="s">
        <v>18</v>
      </c>
      <c r="B14">
        <v>-40</v>
      </c>
      <c r="C14">
        <v>84.67</v>
      </c>
      <c r="D14">
        <v>85.33</v>
      </c>
      <c r="E14">
        <v>85.33</v>
      </c>
      <c r="F14">
        <v>85.33</v>
      </c>
      <c r="G14">
        <v>85.33</v>
      </c>
      <c r="H14">
        <v>85.33</v>
      </c>
      <c r="I14">
        <v>85.33</v>
      </c>
      <c r="J14" t="e">
        <f t="shared" si="1"/>
        <v>#N/A</v>
      </c>
      <c r="K14" t="e">
        <f t="shared" si="2"/>
        <v>#N/A</v>
      </c>
      <c r="L14" t="e">
        <f t="shared" si="3"/>
        <v>#N/A</v>
      </c>
      <c r="M14" t="e">
        <f t="shared" si="4"/>
        <v>#N/A</v>
      </c>
      <c r="N14" t="e">
        <f t="shared" si="5"/>
        <v>#N/A</v>
      </c>
      <c r="O14" t="e">
        <f t="shared" si="6"/>
        <v>#N/A</v>
      </c>
      <c r="P14" t="e">
        <f t="shared" si="7"/>
        <v>#N/A</v>
      </c>
      <c r="Q14" s="3" t="s">
        <v>60</v>
      </c>
    </row>
    <row r="15" spans="1:17" x14ac:dyDescent="0.45">
      <c r="A15" s="1" t="s">
        <v>19</v>
      </c>
      <c r="B15">
        <v>-35</v>
      </c>
      <c r="C15">
        <v>90.67</v>
      </c>
      <c r="D15">
        <v>90</v>
      </c>
      <c r="E15">
        <v>90</v>
      </c>
      <c r="F15">
        <v>90</v>
      </c>
      <c r="G15">
        <v>90</v>
      </c>
      <c r="H15">
        <v>90</v>
      </c>
      <c r="I15">
        <v>90</v>
      </c>
      <c r="J15" t="e">
        <f t="shared" si="1"/>
        <v>#N/A</v>
      </c>
      <c r="K15" t="e">
        <f t="shared" si="2"/>
        <v>#N/A</v>
      </c>
      <c r="L15" t="e">
        <f t="shared" si="3"/>
        <v>#N/A</v>
      </c>
      <c r="M15" t="e">
        <f t="shared" si="4"/>
        <v>#N/A</v>
      </c>
      <c r="N15" t="e">
        <f t="shared" si="5"/>
        <v>#N/A</v>
      </c>
      <c r="O15" t="e">
        <f t="shared" si="6"/>
        <v>#N/A</v>
      </c>
      <c r="P15" t="e">
        <f t="shared" si="7"/>
        <v>#N/A</v>
      </c>
      <c r="Q15" t="s">
        <v>61</v>
      </c>
    </row>
    <row r="16" spans="1:17" ht="16.149999999999999" x14ac:dyDescent="0.45">
      <c r="A16" s="1" t="s">
        <v>20</v>
      </c>
      <c r="B16">
        <v>-30</v>
      </c>
      <c r="C16">
        <v>94.67</v>
      </c>
      <c r="D16">
        <v>93.33</v>
      </c>
      <c r="E16">
        <v>93.33</v>
      </c>
      <c r="F16">
        <v>93.33</v>
      </c>
      <c r="G16">
        <v>93.33</v>
      </c>
      <c r="H16">
        <v>93.33</v>
      </c>
      <c r="I16">
        <v>93.33</v>
      </c>
      <c r="J16" t="e">
        <f t="shared" si="1"/>
        <v>#N/A</v>
      </c>
      <c r="K16" t="e">
        <f t="shared" si="2"/>
        <v>#N/A</v>
      </c>
      <c r="L16" t="e">
        <f t="shared" si="3"/>
        <v>#N/A</v>
      </c>
      <c r="M16" t="e">
        <f t="shared" si="4"/>
        <v>#N/A</v>
      </c>
      <c r="N16" t="e">
        <f t="shared" si="5"/>
        <v>#N/A</v>
      </c>
      <c r="O16" t="e">
        <f t="shared" si="6"/>
        <v>#N/A</v>
      </c>
      <c r="P16" t="e">
        <f t="shared" si="7"/>
        <v>#N/A</v>
      </c>
      <c r="Q16" s="3" t="s">
        <v>62</v>
      </c>
    </row>
    <row r="17" spans="1:17" x14ac:dyDescent="0.45">
      <c r="A17" s="1" t="s">
        <v>21</v>
      </c>
      <c r="B17">
        <v>-25</v>
      </c>
      <c r="C17">
        <v>95.33</v>
      </c>
      <c r="D17">
        <v>95.33</v>
      </c>
      <c r="E17">
        <v>95.33</v>
      </c>
      <c r="F17">
        <v>95.33</v>
      </c>
      <c r="G17">
        <v>95.33</v>
      </c>
      <c r="H17">
        <v>95.33</v>
      </c>
      <c r="I17">
        <v>95.33</v>
      </c>
      <c r="J17" t="e">
        <f t="shared" si="1"/>
        <v>#N/A</v>
      </c>
      <c r="K17" t="e">
        <f t="shared" si="2"/>
        <v>#N/A</v>
      </c>
      <c r="L17" t="e">
        <f t="shared" si="3"/>
        <v>#N/A</v>
      </c>
      <c r="M17" t="e">
        <f t="shared" si="4"/>
        <v>#N/A</v>
      </c>
      <c r="N17" t="e">
        <f t="shared" si="5"/>
        <v>#N/A</v>
      </c>
      <c r="O17" t="e">
        <f t="shared" si="6"/>
        <v>#N/A</v>
      </c>
      <c r="P17" t="e">
        <f t="shared" si="7"/>
        <v>#N/A</v>
      </c>
      <c r="Q17" t="s">
        <v>63</v>
      </c>
    </row>
    <row r="18" spans="1:17" ht="16.149999999999999" x14ac:dyDescent="0.45">
      <c r="A18" s="1" t="s">
        <v>22</v>
      </c>
      <c r="B18">
        <v>-20</v>
      </c>
      <c r="C18">
        <v>95.33</v>
      </c>
      <c r="D18">
        <v>94.67</v>
      </c>
      <c r="E18">
        <v>95.33</v>
      </c>
      <c r="F18">
        <v>95.33</v>
      </c>
      <c r="G18">
        <v>95.33</v>
      </c>
      <c r="H18">
        <v>95.33</v>
      </c>
      <c r="I18">
        <v>95.33</v>
      </c>
      <c r="J18" t="e">
        <f t="shared" si="1"/>
        <v>#N/A</v>
      </c>
      <c r="K18" t="e">
        <f t="shared" si="2"/>
        <v>#N/A</v>
      </c>
      <c r="L18" t="e">
        <f t="shared" si="3"/>
        <v>#N/A</v>
      </c>
      <c r="M18" t="e">
        <f t="shared" si="4"/>
        <v>#N/A</v>
      </c>
      <c r="N18" t="e">
        <f t="shared" si="5"/>
        <v>#N/A</v>
      </c>
      <c r="O18" t="e">
        <f t="shared" si="6"/>
        <v>#N/A</v>
      </c>
      <c r="P18" t="e">
        <f t="shared" si="7"/>
        <v>#N/A</v>
      </c>
      <c r="Q18" s="3" t="s">
        <v>64</v>
      </c>
    </row>
    <row r="19" spans="1:17" x14ac:dyDescent="0.45">
      <c r="A19" s="1" t="s">
        <v>23</v>
      </c>
      <c r="B19">
        <v>-15</v>
      </c>
      <c r="C19">
        <v>95.33</v>
      </c>
      <c r="D19">
        <v>95.33</v>
      </c>
      <c r="E19">
        <v>95.33</v>
      </c>
      <c r="F19">
        <v>96.67</v>
      </c>
      <c r="G19">
        <v>96.67</v>
      </c>
      <c r="H19">
        <v>96.67</v>
      </c>
      <c r="I19">
        <v>96.67</v>
      </c>
      <c r="J19" t="e">
        <f t="shared" si="1"/>
        <v>#N/A</v>
      </c>
      <c r="K19" t="e">
        <f t="shared" si="2"/>
        <v>#N/A</v>
      </c>
      <c r="L19" t="e">
        <f t="shared" si="3"/>
        <v>#N/A</v>
      </c>
      <c r="M19" t="e">
        <f t="shared" si="4"/>
        <v>#N/A</v>
      </c>
      <c r="N19" t="e">
        <f t="shared" si="5"/>
        <v>#N/A</v>
      </c>
      <c r="O19" t="e">
        <f t="shared" si="6"/>
        <v>#N/A</v>
      </c>
      <c r="P19" t="e">
        <f t="shared" si="7"/>
        <v>#N/A</v>
      </c>
      <c r="Q19" t="s">
        <v>65</v>
      </c>
    </row>
    <row r="20" spans="1:17" ht="16.149999999999999" x14ac:dyDescent="0.45">
      <c r="A20" s="1" t="s">
        <v>24</v>
      </c>
      <c r="B20">
        <v>-10</v>
      </c>
      <c r="C20">
        <v>94.67</v>
      </c>
      <c r="D20">
        <v>95.33</v>
      </c>
      <c r="E20">
        <v>95.33</v>
      </c>
      <c r="F20">
        <v>96</v>
      </c>
      <c r="G20">
        <v>96.67</v>
      </c>
      <c r="H20">
        <v>96.67</v>
      </c>
      <c r="I20">
        <v>96.67</v>
      </c>
      <c r="J20" t="e">
        <f t="shared" si="1"/>
        <v>#N/A</v>
      </c>
      <c r="K20" t="e">
        <f t="shared" si="2"/>
        <v>#N/A</v>
      </c>
      <c r="L20" t="e">
        <f t="shared" si="3"/>
        <v>#N/A</v>
      </c>
      <c r="M20" t="e">
        <f t="shared" si="4"/>
        <v>#N/A</v>
      </c>
      <c r="N20" t="e">
        <f t="shared" si="5"/>
        <v>#N/A</v>
      </c>
      <c r="O20" t="e">
        <f t="shared" si="6"/>
        <v>#N/A</v>
      </c>
      <c r="P20" t="e">
        <f t="shared" si="7"/>
        <v>#N/A</v>
      </c>
      <c r="Q20" s="3" t="s">
        <v>66</v>
      </c>
    </row>
    <row r="21" spans="1:17" x14ac:dyDescent="0.45">
      <c r="A21" s="1" t="s">
        <v>25</v>
      </c>
      <c r="B21">
        <v>-5</v>
      </c>
      <c r="C21">
        <v>96</v>
      </c>
      <c r="D21">
        <v>95.33</v>
      </c>
      <c r="E21">
        <v>95.33</v>
      </c>
      <c r="F21">
        <v>94.67</v>
      </c>
      <c r="G21">
        <v>94.67</v>
      </c>
      <c r="H21">
        <v>95.33</v>
      </c>
      <c r="I21">
        <v>95.33</v>
      </c>
      <c r="J21" t="e">
        <f t="shared" si="1"/>
        <v>#N/A</v>
      </c>
      <c r="K21" t="e">
        <f t="shared" si="2"/>
        <v>#N/A</v>
      </c>
      <c r="L21" t="e">
        <f t="shared" si="3"/>
        <v>#N/A</v>
      </c>
      <c r="M21" t="e">
        <f t="shared" si="4"/>
        <v>#N/A</v>
      </c>
      <c r="N21" t="e">
        <f t="shared" si="5"/>
        <v>#N/A</v>
      </c>
      <c r="O21" t="e">
        <f t="shared" si="6"/>
        <v>#N/A</v>
      </c>
      <c r="P21" t="e">
        <f t="shared" si="7"/>
        <v>#N/A</v>
      </c>
      <c r="Q21" t="s">
        <v>67</v>
      </c>
    </row>
    <row r="22" spans="1:17" x14ac:dyDescent="0.45">
      <c r="A22" s="1" t="s">
        <v>26</v>
      </c>
      <c r="B22">
        <v>0</v>
      </c>
      <c r="C22">
        <v>95.33</v>
      </c>
      <c r="D22">
        <v>95.33</v>
      </c>
      <c r="E22">
        <v>94.67</v>
      </c>
      <c r="F22">
        <v>95.33</v>
      </c>
      <c r="G22">
        <v>95.33</v>
      </c>
      <c r="H22">
        <v>96</v>
      </c>
      <c r="I22">
        <v>96</v>
      </c>
      <c r="J22" t="e">
        <f t="shared" si="1"/>
        <v>#N/A</v>
      </c>
      <c r="K22" t="e">
        <f t="shared" si="2"/>
        <v>#N/A</v>
      </c>
      <c r="L22" t="e">
        <f t="shared" si="3"/>
        <v>#N/A</v>
      </c>
      <c r="M22" t="e">
        <f t="shared" si="4"/>
        <v>#N/A</v>
      </c>
      <c r="N22" t="e">
        <f t="shared" si="5"/>
        <v>#N/A</v>
      </c>
      <c r="O22" t="e">
        <f t="shared" si="6"/>
        <v>#N/A</v>
      </c>
      <c r="P22" t="e">
        <f t="shared" si="7"/>
        <v>#N/A</v>
      </c>
      <c r="Q22" s="3" t="s">
        <v>68</v>
      </c>
    </row>
    <row r="23" spans="1:17" x14ac:dyDescent="0.45">
      <c r="A23" s="1" t="s">
        <v>27</v>
      </c>
      <c r="B23">
        <v>5</v>
      </c>
      <c r="C23">
        <v>96</v>
      </c>
      <c r="D23">
        <v>95.33</v>
      </c>
      <c r="E23">
        <v>96.67</v>
      </c>
      <c r="F23">
        <v>96</v>
      </c>
      <c r="G23">
        <v>96.67</v>
      </c>
      <c r="H23">
        <v>95.33</v>
      </c>
      <c r="I23">
        <v>96</v>
      </c>
      <c r="J23" t="e">
        <f t="shared" si="1"/>
        <v>#N/A</v>
      </c>
      <c r="K23" t="e">
        <f t="shared" si="2"/>
        <v>#N/A</v>
      </c>
      <c r="L23" t="e">
        <f t="shared" si="3"/>
        <v>#N/A</v>
      </c>
      <c r="M23" t="e">
        <f t="shared" si="4"/>
        <v>#N/A</v>
      </c>
      <c r="N23" t="e">
        <f t="shared" si="5"/>
        <v>#N/A</v>
      </c>
      <c r="O23" t="e">
        <f t="shared" si="6"/>
        <v>#N/A</v>
      </c>
      <c r="P23" t="e">
        <f t="shared" si="7"/>
        <v>#N/A</v>
      </c>
      <c r="Q23" t="s">
        <v>69</v>
      </c>
    </row>
    <row r="24" spans="1:17" ht="16.149999999999999" x14ac:dyDescent="0.45">
      <c r="A24" s="1" t="s">
        <v>28</v>
      </c>
      <c r="B24">
        <v>10</v>
      </c>
      <c r="C24">
        <v>95.33</v>
      </c>
      <c r="D24">
        <v>96</v>
      </c>
      <c r="E24">
        <v>96</v>
      </c>
      <c r="F24">
        <v>94.67</v>
      </c>
      <c r="G24">
        <v>96</v>
      </c>
      <c r="H24">
        <v>95.33</v>
      </c>
      <c r="I24">
        <v>94.67</v>
      </c>
      <c r="J24" t="e">
        <f t="shared" si="1"/>
        <v>#N/A</v>
      </c>
      <c r="K24" t="e">
        <f t="shared" si="2"/>
        <v>#N/A</v>
      </c>
      <c r="L24" t="e">
        <f t="shared" si="3"/>
        <v>#N/A</v>
      </c>
      <c r="M24" t="e">
        <f t="shared" si="4"/>
        <v>#N/A</v>
      </c>
      <c r="N24" t="e">
        <f t="shared" si="5"/>
        <v>#N/A</v>
      </c>
      <c r="O24" t="e">
        <f t="shared" si="6"/>
        <v>#N/A</v>
      </c>
      <c r="P24" t="e">
        <f t="shared" si="7"/>
        <v>#N/A</v>
      </c>
      <c r="Q24" s="3" t="s">
        <v>70</v>
      </c>
    </row>
    <row r="25" spans="1:17" x14ac:dyDescent="0.45">
      <c r="A25" s="1" t="s">
        <v>29</v>
      </c>
      <c r="B25">
        <v>15</v>
      </c>
      <c r="C25">
        <v>95.33</v>
      </c>
      <c r="D25">
        <v>96</v>
      </c>
      <c r="E25">
        <v>95.33</v>
      </c>
      <c r="F25">
        <v>94</v>
      </c>
      <c r="G25">
        <v>95.33</v>
      </c>
      <c r="H25">
        <v>95.33</v>
      </c>
      <c r="I25">
        <v>94.67</v>
      </c>
      <c r="J25" t="e">
        <f t="shared" si="1"/>
        <v>#N/A</v>
      </c>
      <c r="K25" t="e">
        <f t="shared" si="2"/>
        <v>#N/A</v>
      </c>
      <c r="L25" t="e">
        <f t="shared" si="3"/>
        <v>#N/A</v>
      </c>
      <c r="M25" t="e">
        <f t="shared" si="4"/>
        <v>#N/A</v>
      </c>
      <c r="N25" t="e">
        <f t="shared" si="5"/>
        <v>#N/A</v>
      </c>
      <c r="O25" t="e">
        <f t="shared" si="6"/>
        <v>#N/A</v>
      </c>
      <c r="P25" t="e">
        <f t="shared" si="7"/>
        <v>#N/A</v>
      </c>
      <c r="Q25" t="s">
        <v>71</v>
      </c>
    </row>
    <row r="26" spans="1:17" ht="16.149999999999999" x14ac:dyDescent="0.45">
      <c r="A26" s="1" t="s">
        <v>30</v>
      </c>
      <c r="B26">
        <v>20</v>
      </c>
      <c r="C26">
        <v>95.33</v>
      </c>
      <c r="D26">
        <v>96</v>
      </c>
      <c r="E26">
        <v>96</v>
      </c>
      <c r="F26">
        <v>97.33</v>
      </c>
      <c r="G26">
        <v>94.67</v>
      </c>
      <c r="H26">
        <v>95.33</v>
      </c>
      <c r="I26">
        <v>95.33</v>
      </c>
      <c r="J26" t="e">
        <f t="shared" si="1"/>
        <v>#N/A</v>
      </c>
      <c r="K26" t="e">
        <f t="shared" si="2"/>
        <v>#N/A</v>
      </c>
      <c r="L26" t="e">
        <f t="shared" si="3"/>
        <v>#N/A</v>
      </c>
      <c r="M26" t="e">
        <f t="shared" si="4"/>
        <v>#N/A</v>
      </c>
      <c r="N26" t="e">
        <f t="shared" si="5"/>
        <v>#N/A</v>
      </c>
      <c r="O26" t="e">
        <f t="shared" si="6"/>
        <v>#N/A</v>
      </c>
      <c r="P26" t="e">
        <f t="shared" si="7"/>
        <v>#N/A</v>
      </c>
      <c r="Q26" s="3" t="s">
        <v>72</v>
      </c>
    </row>
    <row r="27" spans="1:17" x14ac:dyDescent="0.45">
      <c r="A27" s="1" t="s">
        <v>31</v>
      </c>
      <c r="B27">
        <v>25</v>
      </c>
      <c r="C27">
        <v>94.67</v>
      </c>
      <c r="D27">
        <v>95.33</v>
      </c>
      <c r="E27">
        <v>96</v>
      </c>
      <c r="F27">
        <v>98</v>
      </c>
      <c r="G27">
        <v>97.33</v>
      </c>
      <c r="H27">
        <v>95.33</v>
      </c>
      <c r="I27">
        <v>95.33</v>
      </c>
      <c r="J27" t="e">
        <f t="shared" si="1"/>
        <v>#N/A</v>
      </c>
      <c r="K27" t="e">
        <f t="shared" si="2"/>
        <v>#N/A</v>
      </c>
      <c r="L27" t="e">
        <f t="shared" si="3"/>
        <v>#N/A</v>
      </c>
      <c r="M27" t="e">
        <f t="shared" si="4"/>
        <v>#N/A</v>
      </c>
      <c r="N27" t="e">
        <f t="shared" si="5"/>
        <v>#N/A</v>
      </c>
      <c r="O27" t="e">
        <f t="shared" si="6"/>
        <v>#N/A</v>
      </c>
      <c r="P27" t="e">
        <f t="shared" si="7"/>
        <v>#N/A</v>
      </c>
      <c r="Q27" t="s">
        <v>73</v>
      </c>
    </row>
    <row r="28" spans="1:17" ht="16.149999999999999" x14ac:dyDescent="0.45">
      <c r="A28" s="1" t="s">
        <v>32</v>
      </c>
      <c r="B28">
        <v>30</v>
      </c>
      <c r="C28">
        <v>94.67</v>
      </c>
      <c r="D28">
        <v>96.67</v>
      </c>
      <c r="E28">
        <v>95.33</v>
      </c>
      <c r="F28">
        <v>96</v>
      </c>
      <c r="G28">
        <v>98</v>
      </c>
      <c r="H28">
        <v>96</v>
      </c>
      <c r="I28">
        <v>94.67</v>
      </c>
      <c r="J28" t="e">
        <f t="shared" si="1"/>
        <v>#N/A</v>
      </c>
      <c r="K28" t="e">
        <f t="shared" si="2"/>
        <v>#N/A</v>
      </c>
      <c r="L28" t="e">
        <f t="shared" si="3"/>
        <v>#N/A</v>
      </c>
      <c r="M28" t="e">
        <f t="shared" si="4"/>
        <v>#N/A</v>
      </c>
      <c r="N28" t="e">
        <f t="shared" si="5"/>
        <v>#N/A</v>
      </c>
      <c r="O28" t="e">
        <f t="shared" si="6"/>
        <v>#N/A</v>
      </c>
      <c r="P28" t="e">
        <f t="shared" si="7"/>
        <v>#N/A</v>
      </c>
      <c r="Q28" s="3" t="s">
        <v>74</v>
      </c>
    </row>
    <row r="29" spans="1:17" x14ac:dyDescent="0.45">
      <c r="A29" s="1" t="s">
        <v>33</v>
      </c>
      <c r="B29">
        <v>35</v>
      </c>
      <c r="C29">
        <v>93.33</v>
      </c>
      <c r="D29">
        <v>95.33</v>
      </c>
      <c r="E29">
        <v>98</v>
      </c>
      <c r="F29">
        <v>96.67</v>
      </c>
      <c r="G29">
        <v>98.67</v>
      </c>
      <c r="H29">
        <v>96.67</v>
      </c>
      <c r="I29">
        <v>96</v>
      </c>
      <c r="J29" t="e">
        <f t="shared" si="1"/>
        <v>#N/A</v>
      </c>
      <c r="K29" t="e">
        <f t="shared" si="2"/>
        <v>#N/A</v>
      </c>
      <c r="L29" t="e">
        <f t="shared" si="3"/>
        <v>#N/A</v>
      </c>
      <c r="M29" t="e">
        <f t="shared" si="4"/>
        <v>#N/A</v>
      </c>
      <c r="N29">
        <f t="shared" si="5"/>
        <v>98.67</v>
      </c>
      <c r="O29" t="e">
        <f t="shared" si="6"/>
        <v>#N/A</v>
      </c>
      <c r="P29" t="e">
        <f t="shared" si="7"/>
        <v>#N/A</v>
      </c>
      <c r="Q29" t="s">
        <v>75</v>
      </c>
    </row>
    <row r="30" spans="1:17" ht="16.149999999999999" x14ac:dyDescent="0.45">
      <c r="A30" s="1" t="s">
        <v>34</v>
      </c>
      <c r="B30">
        <v>40</v>
      </c>
      <c r="C30">
        <v>92</v>
      </c>
      <c r="D30">
        <v>95.33</v>
      </c>
      <c r="E30">
        <v>96</v>
      </c>
      <c r="F30">
        <v>96.67</v>
      </c>
      <c r="G30">
        <v>96.67</v>
      </c>
      <c r="H30">
        <v>98</v>
      </c>
      <c r="I30">
        <v>96</v>
      </c>
      <c r="J30" t="e">
        <f t="shared" si="1"/>
        <v>#N/A</v>
      </c>
      <c r="K30" t="e">
        <f t="shared" si="2"/>
        <v>#N/A</v>
      </c>
      <c r="L30" t="e">
        <f t="shared" si="3"/>
        <v>#N/A</v>
      </c>
      <c r="M30" t="e">
        <f t="shared" si="4"/>
        <v>#N/A</v>
      </c>
      <c r="N30" t="e">
        <f t="shared" si="5"/>
        <v>#N/A</v>
      </c>
      <c r="O30" t="e">
        <f t="shared" si="6"/>
        <v>#N/A</v>
      </c>
      <c r="P30" t="e">
        <f t="shared" si="7"/>
        <v>#N/A</v>
      </c>
      <c r="Q30" s="3" t="s">
        <v>76</v>
      </c>
    </row>
    <row r="31" spans="1:17" x14ac:dyDescent="0.45">
      <c r="A31" s="1" t="s">
        <v>35</v>
      </c>
      <c r="B31">
        <v>45</v>
      </c>
      <c r="D31">
        <v>94.67</v>
      </c>
      <c r="E31">
        <v>95.33</v>
      </c>
      <c r="F31">
        <v>96</v>
      </c>
      <c r="G31">
        <v>96.67</v>
      </c>
      <c r="H31">
        <v>98.67</v>
      </c>
      <c r="I31">
        <v>97.33</v>
      </c>
      <c r="J31" t="e">
        <f t="shared" si="1"/>
        <v>#N/A</v>
      </c>
      <c r="K31" t="e">
        <f t="shared" si="2"/>
        <v>#N/A</v>
      </c>
      <c r="L31" t="e">
        <f t="shared" si="3"/>
        <v>#N/A</v>
      </c>
      <c r="M31" t="e">
        <f t="shared" si="4"/>
        <v>#N/A</v>
      </c>
      <c r="N31" t="e">
        <f t="shared" si="5"/>
        <v>#N/A</v>
      </c>
      <c r="O31">
        <f t="shared" si="6"/>
        <v>98.67</v>
      </c>
      <c r="P31" t="e">
        <f t="shared" si="7"/>
        <v>#N/A</v>
      </c>
      <c r="Q31" t="s">
        <v>77</v>
      </c>
    </row>
    <row r="32" spans="1:17" ht="16.149999999999999" x14ac:dyDescent="0.45">
      <c r="A32" s="1" t="s">
        <v>36</v>
      </c>
      <c r="B32">
        <v>50</v>
      </c>
      <c r="D32">
        <v>93.33</v>
      </c>
      <c r="E32">
        <v>94.67</v>
      </c>
      <c r="F32">
        <v>95.33</v>
      </c>
      <c r="G32">
        <v>97.33</v>
      </c>
      <c r="H32">
        <v>98.67</v>
      </c>
      <c r="I32">
        <v>98</v>
      </c>
      <c r="J32" t="e">
        <f t="shared" si="1"/>
        <v>#N/A</v>
      </c>
      <c r="K32" t="e">
        <f t="shared" si="2"/>
        <v>#N/A</v>
      </c>
      <c r="L32" t="e">
        <f t="shared" si="3"/>
        <v>#N/A</v>
      </c>
      <c r="M32" t="e">
        <f t="shared" si="4"/>
        <v>#N/A</v>
      </c>
      <c r="N32" t="e">
        <f t="shared" si="5"/>
        <v>#N/A</v>
      </c>
      <c r="O32">
        <f t="shared" si="6"/>
        <v>98.67</v>
      </c>
      <c r="P32" t="e">
        <f t="shared" si="7"/>
        <v>#N/A</v>
      </c>
      <c r="Q32" s="3" t="s">
        <v>78</v>
      </c>
    </row>
    <row r="33" spans="1:17" x14ac:dyDescent="0.45">
      <c r="A33" s="1" t="s">
        <v>37</v>
      </c>
      <c r="B33">
        <v>55</v>
      </c>
      <c r="D33">
        <v>90.67</v>
      </c>
      <c r="E33">
        <v>93.33</v>
      </c>
      <c r="F33">
        <v>96.67</v>
      </c>
      <c r="G33">
        <v>96</v>
      </c>
      <c r="H33">
        <v>96.67</v>
      </c>
      <c r="I33">
        <v>98.67</v>
      </c>
      <c r="J33" t="e">
        <f t="shared" si="1"/>
        <v>#N/A</v>
      </c>
      <c r="K33" t="e">
        <f t="shared" si="2"/>
        <v>#N/A</v>
      </c>
      <c r="L33" t="e">
        <f t="shared" si="3"/>
        <v>#N/A</v>
      </c>
      <c r="M33" t="e">
        <f t="shared" si="4"/>
        <v>#N/A</v>
      </c>
      <c r="N33" t="e">
        <f t="shared" si="5"/>
        <v>#N/A</v>
      </c>
      <c r="O33" t="e">
        <f t="shared" si="6"/>
        <v>#N/A</v>
      </c>
      <c r="P33">
        <f t="shared" si="7"/>
        <v>98.67</v>
      </c>
      <c r="Q33" t="s">
        <v>79</v>
      </c>
    </row>
    <row r="34" spans="1:17" ht="16.149999999999999" x14ac:dyDescent="0.45">
      <c r="A34" s="1" t="s">
        <v>38</v>
      </c>
      <c r="B34">
        <v>60</v>
      </c>
      <c r="D34">
        <v>90.67</v>
      </c>
      <c r="E34">
        <v>92.67</v>
      </c>
      <c r="F34">
        <v>95.33</v>
      </c>
      <c r="G34">
        <v>97.33</v>
      </c>
      <c r="H34">
        <v>96.67</v>
      </c>
      <c r="I34">
        <v>98.67</v>
      </c>
      <c r="J34" t="e">
        <f t="shared" si="1"/>
        <v>#N/A</v>
      </c>
      <c r="K34" t="e">
        <f t="shared" si="2"/>
        <v>#N/A</v>
      </c>
      <c r="L34" t="e">
        <f t="shared" si="3"/>
        <v>#N/A</v>
      </c>
      <c r="M34" t="e">
        <f t="shared" si="4"/>
        <v>#N/A</v>
      </c>
      <c r="N34" t="e">
        <f t="shared" si="5"/>
        <v>#N/A</v>
      </c>
      <c r="O34" t="e">
        <f t="shared" si="6"/>
        <v>#N/A</v>
      </c>
      <c r="P34">
        <f t="shared" si="7"/>
        <v>98.67</v>
      </c>
      <c r="Q34" s="3" t="s">
        <v>80</v>
      </c>
    </row>
    <row r="35" spans="1:17" x14ac:dyDescent="0.45">
      <c r="A35" s="1" t="s">
        <v>39</v>
      </c>
      <c r="B35">
        <v>65</v>
      </c>
      <c r="F35">
        <v>94.67</v>
      </c>
      <c r="G35">
        <v>94</v>
      </c>
      <c r="H35">
        <v>97.33</v>
      </c>
      <c r="I35">
        <v>96.67</v>
      </c>
      <c r="J35" t="e">
        <f t="shared" si="1"/>
        <v>#N/A</v>
      </c>
      <c r="K35" t="e">
        <f t="shared" si="2"/>
        <v>#N/A</v>
      </c>
      <c r="L35" t="e">
        <f t="shared" si="3"/>
        <v>#N/A</v>
      </c>
      <c r="M35" t="e">
        <f t="shared" si="4"/>
        <v>#N/A</v>
      </c>
      <c r="N35" t="e">
        <f t="shared" si="5"/>
        <v>#N/A</v>
      </c>
      <c r="O35" t="e">
        <f t="shared" si="6"/>
        <v>#N/A</v>
      </c>
      <c r="P35" t="e">
        <f t="shared" si="7"/>
        <v>#N/A</v>
      </c>
      <c r="Q35" t="s">
        <v>81</v>
      </c>
    </row>
    <row r="36" spans="1:17" ht="16.149999999999999" x14ac:dyDescent="0.45">
      <c r="A36" s="1" t="s">
        <v>40</v>
      </c>
      <c r="B36">
        <v>70</v>
      </c>
      <c r="E36">
        <v>92.67</v>
      </c>
      <c r="F36">
        <v>93.33</v>
      </c>
      <c r="G36">
        <v>94.67</v>
      </c>
      <c r="H36">
        <v>95.33</v>
      </c>
      <c r="I36">
        <v>96.67</v>
      </c>
      <c r="J36" t="e">
        <f t="shared" si="1"/>
        <v>#N/A</v>
      </c>
      <c r="K36" t="e">
        <f t="shared" si="2"/>
        <v>#N/A</v>
      </c>
      <c r="L36" t="e">
        <f t="shared" si="3"/>
        <v>#N/A</v>
      </c>
      <c r="M36" t="e">
        <f t="shared" si="4"/>
        <v>#N/A</v>
      </c>
      <c r="N36" t="e">
        <f t="shared" si="5"/>
        <v>#N/A</v>
      </c>
      <c r="O36" t="e">
        <f t="shared" si="6"/>
        <v>#N/A</v>
      </c>
      <c r="P36" t="e">
        <f t="shared" si="7"/>
        <v>#N/A</v>
      </c>
      <c r="Q36" s="3" t="s">
        <v>82</v>
      </c>
    </row>
    <row r="37" spans="1:17" x14ac:dyDescent="0.45">
      <c r="A37" s="1" t="s">
        <v>41</v>
      </c>
      <c r="B37">
        <v>75</v>
      </c>
      <c r="F37">
        <v>92.67</v>
      </c>
      <c r="G37">
        <v>95.33</v>
      </c>
      <c r="H37">
        <v>98.67</v>
      </c>
      <c r="I37">
        <v>96.67</v>
      </c>
      <c r="J37" t="e">
        <f t="shared" si="1"/>
        <v>#N/A</v>
      </c>
      <c r="K37" t="e">
        <f t="shared" si="2"/>
        <v>#N/A</v>
      </c>
      <c r="L37" t="e">
        <f t="shared" si="3"/>
        <v>#N/A</v>
      </c>
      <c r="M37" t="e">
        <f t="shared" si="4"/>
        <v>#N/A</v>
      </c>
      <c r="N37" t="e">
        <f t="shared" si="5"/>
        <v>#N/A</v>
      </c>
      <c r="O37">
        <f t="shared" si="6"/>
        <v>98.67</v>
      </c>
      <c r="P37" t="e">
        <f t="shared" si="7"/>
        <v>#N/A</v>
      </c>
      <c r="Q37" t="s">
        <v>83</v>
      </c>
    </row>
    <row r="38" spans="1:17" ht="16.149999999999999" x14ac:dyDescent="0.45">
      <c r="A38" s="1" t="s">
        <v>42</v>
      </c>
      <c r="B38">
        <v>80</v>
      </c>
      <c r="F38">
        <v>92</v>
      </c>
      <c r="G38">
        <v>93.33</v>
      </c>
      <c r="H38">
        <v>96.67</v>
      </c>
      <c r="I38">
        <v>95.33</v>
      </c>
      <c r="J38" t="e">
        <f t="shared" si="1"/>
        <v>#N/A</v>
      </c>
      <c r="K38" t="e">
        <f t="shared" si="2"/>
        <v>#N/A</v>
      </c>
      <c r="L38" t="e">
        <f t="shared" si="3"/>
        <v>#N/A</v>
      </c>
      <c r="M38" t="e">
        <f t="shared" si="4"/>
        <v>#N/A</v>
      </c>
      <c r="N38" t="e">
        <f t="shared" si="5"/>
        <v>#N/A</v>
      </c>
      <c r="O38" t="e">
        <f t="shared" si="6"/>
        <v>#N/A</v>
      </c>
      <c r="P38" t="e">
        <f t="shared" si="7"/>
        <v>#N/A</v>
      </c>
      <c r="Q38" s="3" t="s">
        <v>84</v>
      </c>
    </row>
    <row r="39" spans="1:17" x14ac:dyDescent="0.45">
      <c r="A39" s="1" t="s">
        <v>43</v>
      </c>
      <c r="B39">
        <v>85</v>
      </c>
      <c r="F39">
        <v>94</v>
      </c>
      <c r="G39">
        <v>90.67</v>
      </c>
      <c r="H39">
        <v>95.33</v>
      </c>
      <c r="I39">
        <v>97.33</v>
      </c>
      <c r="J39" t="e">
        <f t="shared" si="1"/>
        <v>#N/A</v>
      </c>
      <c r="K39" t="e">
        <f t="shared" si="2"/>
        <v>#N/A</v>
      </c>
      <c r="L39" t="e">
        <f t="shared" si="3"/>
        <v>#N/A</v>
      </c>
      <c r="M39" t="e">
        <f t="shared" si="4"/>
        <v>#N/A</v>
      </c>
      <c r="N39" t="e">
        <f t="shared" si="5"/>
        <v>#N/A</v>
      </c>
      <c r="O39" t="e">
        <f t="shared" si="6"/>
        <v>#N/A</v>
      </c>
      <c r="P39" t="e">
        <f>IF(I39=MAX($C2:$I42), I39, NA())</f>
        <v>#N/A</v>
      </c>
      <c r="Q39" t="s">
        <v>85</v>
      </c>
    </row>
    <row r="40" spans="1:17" ht="16.149999999999999" x14ac:dyDescent="0.45">
      <c r="A40" s="1" t="s">
        <v>44</v>
      </c>
      <c r="B40">
        <v>90</v>
      </c>
      <c r="G40">
        <v>92</v>
      </c>
      <c r="H40">
        <v>94.67</v>
      </c>
      <c r="I40">
        <v>95.33</v>
      </c>
      <c r="J40" t="e">
        <f t="shared" si="1"/>
        <v>#N/A</v>
      </c>
      <c r="K40" t="e">
        <f t="shared" si="2"/>
        <v>#N/A</v>
      </c>
      <c r="L40" t="e">
        <f t="shared" si="3"/>
        <v>#N/A</v>
      </c>
      <c r="M40" t="e">
        <f t="shared" si="4"/>
        <v>#N/A</v>
      </c>
      <c r="N40" t="e">
        <f t="shared" si="5"/>
        <v>#N/A</v>
      </c>
      <c r="O40" t="e">
        <f t="shared" si="6"/>
        <v>#N/A</v>
      </c>
      <c r="P40" t="e">
        <f>IF(I40=MAX($C2:$I42), I40, NA())</f>
        <v>#N/A</v>
      </c>
      <c r="Q40" s="3" t="s">
        <v>86</v>
      </c>
    </row>
    <row r="41" spans="1:17" x14ac:dyDescent="0.45">
      <c r="A41" s="1" t="s">
        <v>45</v>
      </c>
      <c r="B41">
        <v>95</v>
      </c>
      <c r="G41">
        <v>90</v>
      </c>
      <c r="H41">
        <v>94.67</v>
      </c>
      <c r="I41">
        <v>95.33</v>
      </c>
      <c r="J41" t="e">
        <f t="shared" si="1"/>
        <v>#N/A</v>
      </c>
      <c r="K41" t="e">
        <f t="shared" si="2"/>
        <v>#N/A</v>
      </c>
      <c r="L41" t="e">
        <f t="shared" si="3"/>
        <v>#N/A</v>
      </c>
      <c r="M41" t="e">
        <f t="shared" si="4"/>
        <v>#N/A</v>
      </c>
      <c r="N41" t="e">
        <f t="shared" si="5"/>
        <v>#N/A</v>
      </c>
      <c r="O41" t="e">
        <f t="shared" si="6"/>
        <v>#N/A</v>
      </c>
      <c r="P41" t="e">
        <f>IF(I41=MAX($C2:$I42), I41, NA())</f>
        <v>#N/A</v>
      </c>
      <c r="Q41" t="s">
        <v>87</v>
      </c>
    </row>
    <row r="42" spans="1:17" ht="16.149999999999999" x14ac:dyDescent="0.45">
      <c r="A42" s="1" t="s">
        <v>46</v>
      </c>
      <c r="B42">
        <v>100</v>
      </c>
      <c r="H42">
        <v>92</v>
      </c>
      <c r="I42">
        <v>94.67</v>
      </c>
      <c r="J42" t="e">
        <f t="shared" ref="J42" si="8">IF(C42=MAX($C42:$I82), C42, NA())</f>
        <v>#N/A</v>
      </c>
      <c r="K42" t="e">
        <f t="shared" ref="K42" si="9">IF(D42=MAX($C42:$I82), D42, NA())</f>
        <v>#N/A</v>
      </c>
      <c r="L42" t="e">
        <f t="shared" ref="L42" si="10">IF(E42=MAX($C42:$I82), E42, NA())</f>
        <v>#N/A</v>
      </c>
      <c r="M42" t="e">
        <f t="shared" ref="M42" si="11">IF(F42=MAX($C42:$I82), F42, NA())</f>
        <v>#N/A</v>
      </c>
      <c r="N42" t="e">
        <f t="shared" ref="N42" si="12">IF(G42=MAX($C42:$I82), G42, NA())</f>
        <v>#N/A</v>
      </c>
      <c r="O42" t="e">
        <f t="shared" ref="O42" si="13">IF(H42=MAX($C42:$I82), H42, NA())</f>
        <v>#N/A</v>
      </c>
      <c r="P42" t="e">
        <f>IF(I42=MAX($C2:$I42), I42, NA())</f>
        <v>#N/A</v>
      </c>
      <c r="Q42" s="3" t="s">
        <v>88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珮薰 馬</cp:lastModifiedBy>
  <dcterms:created xsi:type="dcterms:W3CDTF">2025-11-14T16:17:52Z</dcterms:created>
  <dcterms:modified xsi:type="dcterms:W3CDTF">2025-11-16T06:19:59Z</dcterms:modified>
</cp:coreProperties>
</file>